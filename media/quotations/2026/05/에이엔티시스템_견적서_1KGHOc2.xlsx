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esktop\견적서,계약 및 기타\1.견적서,비교견적\"/>
    </mc:Choice>
  </mc:AlternateContent>
  <xr:revisionPtr revIDLastSave="0" documentId="13_ncr:1_{F9D8E373-FB20-4C4F-8755-22C4264DAE94}" xr6:coauthVersionLast="47" xr6:coauthVersionMax="47" xr10:uidLastSave="{00000000-0000-0000-0000-000000000000}"/>
  <bookViews>
    <workbookView xWindow="28680" yWindow="-75" windowWidth="29040" windowHeight="15720" activeTab="3" xr2:uid="{00000000-000D-0000-FFFF-FFFF00000000}"/>
  </bookViews>
  <sheets>
    <sheet name="동바리,비계견적서(자재만남품)" sheetId="24" r:id="rId1"/>
    <sheet name="동바리,비계견적서" sheetId="11" r:id="rId2"/>
    <sheet name="동바리견적서" sheetId="22" r:id="rId3"/>
    <sheet name="비계견적서" sheetId="12" r:id="rId4"/>
    <sheet name="비계견적서(석재비계)" sheetId="26" r:id="rId5"/>
    <sheet name="의조비계일단가" sheetId="25" r:id="rId6"/>
    <sheet name="의조동바리일단가" sheetId="21" r:id="rId7"/>
    <sheet name="OK비계일단가" sheetId="23" r:id="rId8"/>
    <sheet name="OK동바리일단가" sheetId="18" r:id="rId9"/>
    <sheet name="현장 체크리스트" sheetId="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2" localSheetId="1">[1]예상!#REF!</definedName>
    <definedName name="_2" localSheetId="0">[1]예상!#REF!</definedName>
    <definedName name="_2" localSheetId="2">[1]예상!#REF!</definedName>
    <definedName name="_2" localSheetId="3">[1]예상!#REF!</definedName>
    <definedName name="_2" localSheetId="4">[1]예상!#REF!</definedName>
    <definedName name="_2" localSheetId="5">[2]예상!#REF!</definedName>
    <definedName name="_2">[2]예상!#REF!</definedName>
    <definedName name="_5" localSheetId="1">[1]예상!#REF!</definedName>
    <definedName name="_5" localSheetId="0">[1]예상!#REF!</definedName>
    <definedName name="_5" localSheetId="2">[1]예상!#REF!</definedName>
    <definedName name="_5" localSheetId="3">[1]예상!#REF!</definedName>
    <definedName name="_5" localSheetId="4">[1]예상!#REF!</definedName>
    <definedName name="_5" localSheetId="5">[2]예상!#REF!</definedName>
    <definedName name="_5">[2]예상!#REF!</definedName>
    <definedName name="_A" localSheetId="1">#REF!</definedName>
    <definedName name="_A" localSheetId="0">#REF!</definedName>
    <definedName name="_A" localSheetId="2">#REF!</definedName>
    <definedName name="_A" localSheetId="3">#REF!</definedName>
    <definedName name="_A" localSheetId="4">#REF!</definedName>
    <definedName name="_A" localSheetId="5">#REF!</definedName>
    <definedName name="_A">#REF!</definedName>
    <definedName name="_c" localSheetId="1">#REF!</definedName>
    <definedName name="_c" localSheetId="0">#REF!</definedName>
    <definedName name="_c" localSheetId="2">#REF!</definedName>
    <definedName name="_c" localSheetId="3">#REF!</definedName>
    <definedName name="_c" localSheetId="4">#REF!</definedName>
    <definedName name="_c" localSheetId="5">#REF!</definedName>
    <definedName name="_c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hidden="1">#REF!</definedName>
    <definedName name="_fill1" localSheetId="1" hidden="1">[3]경비!#REF!</definedName>
    <definedName name="_fill1" localSheetId="0" hidden="1">[3]경비!#REF!</definedName>
    <definedName name="_fill1" localSheetId="2" hidden="1">[3]경비!#REF!</definedName>
    <definedName name="_fill1" localSheetId="3" hidden="1">[3]경비!#REF!</definedName>
    <definedName name="_fill1" localSheetId="4" hidden="1">[3]경비!#REF!</definedName>
    <definedName name="_fill1" localSheetId="5" hidden="1">[4]경비!#REF!</definedName>
    <definedName name="_fill1" hidden="1">[4]경비!#REF!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1" hidden="1">'[5]#REF'!#REF!</definedName>
    <definedName name="_Key2" localSheetId="0" hidden="1">'[5]#REF'!#REF!</definedName>
    <definedName name="_Key2" localSheetId="2" hidden="1">'[5]#REF'!#REF!</definedName>
    <definedName name="_Key2" localSheetId="3" hidden="1">'[5]#REF'!#REF!</definedName>
    <definedName name="_Key2" localSheetId="4" hidden="1">'[5]#REF'!#REF!</definedName>
    <definedName name="_Key2" localSheetId="5" hidden="1">'[6]#REF'!#REF!</definedName>
    <definedName name="_Key2" hidden="1">'[6]#REF'!#REF!</definedName>
    <definedName name="_Order1" hidden="1">255</definedName>
    <definedName name="_Order2" hidden="1">255</definedName>
    <definedName name="_Sort" localSheetId="1" hidden="1">#REF!</definedName>
    <definedName name="_Sort" localSheetId="0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\a" localSheetId="1">#REF!</definedName>
    <definedName name="\a" localSheetId="0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>#REF!</definedName>
    <definedName name="\d" localSheetId="1">[1]예상!#REF!</definedName>
    <definedName name="\d" localSheetId="0">[1]예상!#REF!</definedName>
    <definedName name="\d" localSheetId="2">[1]예상!#REF!</definedName>
    <definedName name="\d" localSheetId="3">[1]예상!#REF!</definedName>
    <definedName name="\d" localSheetId="4">[1]예상!#REF!</definedName>
    <definedName name="\d" localSheetId="5">[2]예상!#REF!</definedName>
    <definedName name="\d">[2]예상!#REF!</definedName>
    <definedName name="\p">#N/A</definedName>
    <definedName name="A" localSheetId="1">#REF!</definedName>
    <definedName name="A" localSheetId="0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>#REF!</definedName>
    <definedName name="A1_" localSheetId="1">#REF!</definedName>
    <definedName name="A1_" localSheetId="0">#REF!</definedName>
    <definedName name="A1_" localSheetId="2">#REF!</definedName>
    <definedName name="A1_" localSheetId="3">#REF!</definedName>
    <definedName name="A1_" localSheetId="4">#REF!</definedName>
    <definedName name="A1_" localSheetId="5">#REF!</definedName>
    <definedName name="A1_">#REF!</definedName>
    <definedName name="A2_" localSheetId="1">#REF!</definedName>
    <definedName name="A2_" localSheetId="0">#REF!</definedName>
    <definedName name="A2_" localSheetId="2">#REF!</definedName>
    <definedName name="A2_" localSheetId="3">#REF!</definedName>
    <definedName name="A2_" localSheetId="4">#REF!</definedName>
    <definedName name="A2_" localSheetId="5">#REF!</definedName>
    <definedName name="A2_">#REF!</definedName>
    <definedName name="A3_" localSheetId="1">#REF!</definedName>
    <definedName name="A3_" localSheetId="0">#REF!</definedName>
    <definedName name="A3_" localSheetId="2">#REF!</definedName>
    <definedName name="A3_" localSheetId="3">#REF!</definedName>
    <definedName name="A3_" localSheetId="4">#REF!</definedName>
    <definedName name="A3_" localSheetId="5">#REF!</definedName>
    <definedName name="A3_">#REF!</definedName>
    <definedName name="A4_" localSheetId="1">#REF!</definedName>
    <definedName name="A4_" localSheetId="0">#REF!</definedName>
    <definedName name="A4_" localSheetId="2">#REF!</definedName>
    <definedName name="A4_" localSheetId="3">#REF!</definedName>
    <definedName name="A4_" localSheetId="4">#REF!</definedName>
    <definedName name="A4_" localSheetId="5">#REF!</definedName>
    <definedName name="A4_">#REF!</definedName>
    <definedName name="A5_" localSheetId="1">#REF!</definedName>
    <definedName name="A5_" localSheetId="0">#REF!</definedName>
    <definedName name="A5_" localSheetId="2">#REF!</definedName>
    <definedName name="A5_" localSheetId="3">#REF!</definedName>
    <definedName name="A5_" localSheetId="4">#REF!</definedName>
    <definedName name="A5_" localSheetId="5">#REF!</definedName>
    <definedName name="A5_">#REF!</definedName>
    <definedName name="A6_">#N/A</definedName>
    <definedName name="A7_" localSheetId="1">#REF!</definedName>
    <definedName name="A7_" localSheetId="0">#REF!</definedName>
    <definedName name="A7_" localSheetId="2">#REF!</definedName>
    <definedName name="A7_" localSheetId="3">#REF!</definedName>
    <definedName name="A7_" localSheetId="4">#REF!</definedName>
    <definedName name="A7_" localSheetId="5">#REF!</definedName>
    <definedName name="A7_">#REF!</definedName>
    <definedName name="A8_" localSheetId="1">#REF!</definedName>
    <definedName name="A8_" localSheetId="0">#REF!</definedName>
    <definedName name="A8_" localSheetId="2">#REF!</definedName>
    <definedName name="A8_" localSheetId="3">#REF!</definedName>
    <definedName name="A8_" localSheetId="4">#REF!</definedName>
    <definedName name="A8_" localSheetId="5">#REF!</definedName>
    <definedName name="A8_">#REF!</definedName>
    <definedName name="A9_" localSheetId="1">#REF!</definedName>
    <definedName name="A9_" localSheetId="0">#REF!</definedName>
    <definedName name="A9_" localSheetId="2">#REF!</definedName>
    <definedName name="A9_" localSheetId="3">#REF!</definedName>
    <definedName name="A9_" localSheetId="4">#REF!</definedName>
    <definedName name="A9_" localSheetId="5">#REF!</definedName>
    <definedName name="A9_">#REF!</definedName>
    <definedName name="AMOUNT" localSheetId="1">#REF!</definedName>
    <definedName name="AMOUNT" localSheetId="0">#REF!</definedName>
    <definedName name="AMOUNT" localSheetId="2">#REF!</definedName>
    <definedName name="AMOUNT" localSheetId="3">#REF!</definedName>
    <definedName name="AMOUNT" localSheetId="4">#REF!</definedName>
    <definedName name="AMOUNT" localSheetId="5">#REF!</definedName>
    <definedName name="AMOUNT">#REF!</definedName>
    <definedName name="B" localSheetId="1">#REF!</definedName>
    <definedName name="B" localSheetId="0">#REF!</definedName>
    <definedName name="B" localSheetId="2">#REF!</definedName>
    <definedName name="B" localSheetId="3">#REF!</definedName>
    <definedName name="B" localSheetId="4">#REF!</definedName>
    <definedName name="B" localSheetId="5">#REF!</definedName>
    <definedName name="B">#REF!</definedName>
    <definedName name="B0" localSheetId="1">#REF!</definedName>
    <definedName name="B0" localSheetId="0">#REF!</definedName>
    <definedName name="B0" localSheetId="2">#REF!</definedName>
    <definedName name="B0" localSheetId="3">#REF!</definedName>
    <definedName name="B0" localSheetId="4">#REF!</definedName>
    <definedName name="B0" localSheetId="5">#REF!</definedName>
    <definedName name="B0">#REF!</definedName>
    <definedName name="B1_" localSheetId="1">#REF!</definedName>
    <definedName name="B1_" localSheetId="0">#REF!</definedName>
    <definedName name="B1_" localSheetId="2">#REF!</definedName>
    <definedName name="B1_" localSheetId="3">#REF!</definedName>
    <definedName name="B1_" localSheetId="4">#REF!</definedName>
    <definedName name="B1_" localSheetId="5">#REF!</definedName>
    <definedName name="B1_">#REF!</definedName>
    <definedName name="BIGO" localSheetId="1">#REF!</definedName>
    <definedName name="BIGO" localSheetId="0">#REF!</definedName>
    <definedName name="BIGO" localSheetId="2">#REF!</definedName>
    <definedName name="BIGO" localSheetId="3">#REF!</definedName>
    <definedName name="BIGO" localSheetId="4">#REF!</definedName>
    <definedName name="BIGO" localSheetId="5">#REF!</definedName>
    <definedName name="BIGO">#REF!</definedName>
    <definedName name="BLO_1">#N/A</definedName>
    <definedName name="COD" localSheetId="1">#REF!</definedName>
    <definedName name="COD" localSheetId="0">#REF!</definedName>
    <definedName name="COD" localSheetId="2">#REF!</definedName>
    <definedName name="COD" localSheetId="3">#REF!</definedName>
    <definedName name="COD" localSheetId="4">#REF!</definedName>
    <definedName name="COD" localSheetId="5">#REF!</definedName>
    <definedName name="COD">#REF!</definedName>
    <definedName name="d" localSheetId="1">#REF!</definedName>
    <definedName name="d" localSheetId="0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>#REF!</definedName>
    <definedName name="_xlnm.Database" localSheetId="1">#REF!</definedName>
    <definedName name="_xlnm.Database" localSheetId="0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>#REF!</definedName>
    <definedName name="database1" localSheetId="1">#REF!</definedName>
    <definedName name="database1" localSheetId="0">#REF!</definedName>
    <definedName name="database1" localSheetId="2">#REF!</definedName>
    <definedName name="database1" localSheetId="3">#REF!</definedName>
    <definedName name="database1" localSheetId="4">#REF!</definedName>
    <definedName name="database1" localSheetId="5">#REF!</definedName>
    <definedName name="database1">#REF!</definedName>
    <definedName name="F_DESC" localSheetId="1">#REF!</definedName>
    <definedName name="F_DESC" localSheetId="0">#REF!</definedName>
    <definedName name="F_DESC" localSheetId="2">#REF!</definedName>
    <definedName name="F_DESC" localSheetId="3">#REF!</definedName>
    <definedName name="F_DESC" localSheetId="4">#REF!</definedName>
    <definedName name="F_DESC" localSheetId="5">#REF!</definedName>
    <definedName name="F_DESC">#REF!</definedName>
    <definedName name="F_SIZE" localSheetId="1">#REF!</definedName>
    <definedName name="F_SIZE" localSheetId="0">#REF!</definedName>
    <definedName name="F_SIZE" localSheetId="2">#REF!</definedName>
    <definedName name="F_SIZE" localSheetId="3">#REF!</definedName>
    <definedName name="F_SIZE" localSheetId="4">#REF!</definedName>
    <definedName name="F_SIZE" localSheetId="5">#REF!</definedName>
    <definedName name="F_SIZE">#REF!</definedName>
    <definedName name="GJ" localSheetId="1">#REF!</definedName>
    <definedName name="GJ" localSheetId="0">#REF!</definedName>
    <definedName name="GJ" localSheetId="2">#REF!</definedName>
    <definedName name="GJ" localSheetId="3">#REF!</definedName>
    <definedName name="GJ" localSheetId="4">#REF!</definedName>
    <definedName name="GJ" localSheetId="5">#REF!</definedName>
    <definedName name="GJ">#REF!</definedName>
    <definedName name="GUMAK" localSheetId="1">#REF!</definedName>
    <definedName name="GUMAK" localSheetId="0">#REF!</definedName>
    <definedName name="GUMAK" localSheetId="2">#REF!</definedName>
    <definedName name="GUMAK" localSheetId="3">#REF!</definedName>
    <definedName name="GUMAK" localSheetId="4">#REF!</definedName>
    <definedName name="GUMAK" localSheetId="5">#REF!</definedName>
    <definedName name="GUMAK">#REF!</definedName>
    <definedName name="hhh" localSheetId="1" hidden="1">#REF!</definedName>
    <definedName name="hhh" localSheetId="0" hidden="1">#REF!</definedName>
    <definedName name="hhh" localSheetId="2" hidden="1">#REF!</definedName>
    <definedName name="hhh" localSheetId="3" hidden="1">#REF!</definedName>
    <definedName name="hhh" localSheetId="4" hidden="1">#REF!</definedName>
    <definedName name="hhh" localSheetId="5" hidden="1">#REF!</definedName>
    <definedName name="hhh" hidden="1">#REF!</definedName>
    <definedName name="ITNUM" localSheetId="1">#REF!</definedName>
    <definedName name="ITNUM" localSheetId="0">#REF!</definedName>
    <definedName name="ITNUM" localSheetId="2">#REF!</definedName>
    <definedName name="ITNUM" localSheetId="3">#REF!</definedName>
    <definedName name="ITNUM" localSheetId="4">#REF!</definedName>
    <definedName name="ITNUM" localSheetId="5">#REF!</definedName>
    <definedName name="ITNUM">#REF!</definedName>
    <definedName name="M">#N/A</definedName>
    <definedName name="NAME" localSheetId="1">#REF!</definedName>
    <definedName name="NAME" localSheetId="0">#REF!</definedName>
    <definedName name="NAME" localSheetId="2">#REF!</definedName>
    <definedName name="NAME" localSheetId="3">#REF!</definedName>
    <definedName name="NAME" localSheetId="4">#REF!</definedName>
    <definedName name="NAME" localSheetId="5">#REF!</definedName>
    <definedName name="NAME">#REF!</definedName>
    <definedName name="NO" localSheetId="1">#REF!</definedName>
    <definedName name="NO" localSheetId="0">#REF!</definedName>
    <definedName name="NO" localSheetId="2">#REF!</definedName>
    <definedName name="NO" localSheetId="3">#REF!</definedName>
    <definedName name="NO" localSheetId="4">#REF!</definedName>
    <definedName name="NO" localSheetId="5">#REF!</definedName>
    <definedName name="NO">#REF!</definedName>
    <definedName name="PRICE" localSheetId="1">#REF!</definedName>
    <definedName name="PRICE" localSheetId="0">#REF!</definedName>
    <definedName name="PRICE" localSheetId="2">#REF!</definedName>
    <definedName name="PRICE" localSheetId="3">#REF!</definedName>
    <definedName name="PRICE" localSheetId="4">#REF!</definedName>
    <definedName name="PRICE" localSheetId="5">#REF!</definedName>
    <definedName name="PRICE">#REF!</definedName>
    <definedName name="_xlnm.Print_Area" localSheetId="8">OK동바리일단가!$B$1:$K$43</definedName>
    <definedName name="_xlnm.Print_Area" localSheetId="7">OK비계일단가!$B$1:$K$44</definedName>
    <definedName name="_xlnm.Print_Area" localSheetId="1">'동바리,비계견적서'!$B$1:$N$47</definedName>
    <definedName name="_xlnm.Print_Area" localSheetId="0">'동바리,비계견적서(자재만남품)'!$B$1:$K$42</definedName>
    <definedName name="_xlnm.Print_Area" localSheetId="2">동바리견적서!$B$1:$N$39</definedName>
    <definedName name="_xlnm.Print_Area" localSheetId="3">비계견적서!$B$1:$N$35</definedName>
    <definedName name="_xlnm.Print_Area" localSheetId="4">'비계견적서(석재비계)'!$B$1:$N$35</definedName>
    <definedName name="_xlnm.Print_Area" localSheetId="6">의조동바리일단가!$B$1:$K$46</definedName>
    <definedName name="_xlnm.Print_Area" localSheetId="5">의조비계일단가!$A$1:$L$64</definedName>
    <definedName name="_xlnm.Print_Area" localSheetId="9">'현장 체크리스트'!$E$1:$P$59</definedName>
    <definedName name="Print_Area_MI" localSheetId="1">#REF!</definedName>
    <definedName name="Print_Area_MI" localSheetId="0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>#REF!</definedName>
    <definedName name="Print_Titles_MI" localSheetId="1">#REF!</definedName>
    <definedName name="Print_Titles_MI" localSheetId="0">#REF!</definedName>
    <definedName name="Print_Titles_MI" localSheetId="2">#REF!</definedName>
    <definedName name="Print_Titles_MI" localSheetId="3">#REF!</definedName>
    <definedName name="Print_Titles_MI" localSheetId="4">#REF!</definedName>
    <definedName name="Print_Titles_MI" localSheetId="5">#REF!</definedName>
    <definedName name="Print_Titles_MI">#REF!</definedName>
    <definedName name="QTY" localSheetId="1">#REF!</definedName>
    <definedName name="QTY" localSheetId="0">#REF!</definedName>
    <definedName name="QTY" localSheetId="2">#REF!</definedName>
    <definedName name="QTY" localSheetId="3">#REF!</definedName>
    <definedName name="QTY" localSheetId="4">#REF!</definedName>
    <definedName name="QTY" localSheetId="5">#REF!</definedName>
    <definedName name="QTY">#REF!</definedName>
    <definedName name="SPEC" localSheetId="1">#REF!</definedName>
    <definedName name="SPEC" localSheetId="0">#REF!</definedName>
    <definedName name="SPEC" localSheetId="2">#REF!</definedName>
    <definedName name="SPEC" localSheetId="3">#REF!</definedName>
    <definedName name="SPEC" localSheetId="4">#REF!</definedName>
    <definedName name="SPEC" localSheetId="5">#REF!</definedName>
    <definedName name="SPEC">#REF!</definedName>
    <definedName name="sung">#N/A</definedName>
    <definedName name="T_AMOUNT" localSheetId="1">#REF!</definedName>
    <definedName name="T_AMOUNT" localSheetId="0">#REF!</definedName>
    <definedName name="T_AMOUNT" localSheetId="2">#REF!</definedName>
    <definedName name="T_AMOUNT" localSheetId="3">#REF!</definedName>
    <definedName name="T_AMOUNT" localSheetId="4">#REF!</definedName>
    <definedName name="T_AMOUNT" localSheetId="5">#REF!</definedName>
    <definedName name="T_AMOUNT">#REF!</definedName>
    <definedName name="T_UPRICE" localSheetId="1">#REF!</definedName>
    <definedName name="T_UPRICE" localSheetId="0">#REF!</definedName>
    <definedName name="T_UPRICE" localSheetId="2">#REF!</definedName>
    <definedName name="T_UPRICE" localSheetId="3">#REF!</definedName>
    <definedName name="T_UPRICE" localSheetId="4">#REF!</definedName>
    <definedName name="T_UPRICE" localSheetId="5">#REF!</definedName>
    <definedName name="T_UPRICE">#REF!</definedName>
    <definedName name="trunc" localSheetId="1">#REF!</definedName>
    <definedName name="trunc" localSheetId="0">#REF!</definedName>
    <definedName name="trunc" localSheetId="2">#REF!</definedName>
    <definedName name="trunc" localSheetId="3">#REF!</definedName>
    <definedName name="trunc" localSheetId="4">#REF!</definedName>
    <definedName name="trunc" localSheetId="5">#REF!</definedName>
    <definedName name="trunc">#REF!</definedName>
    <definedName name="TYPE" localSheetId="1">#REF!</definedName>
    <definedName name="TYPE" localSheetId="0">#REF!</definedName>
    <definedName name="TYPE" localSheetId="2">#REF!</definedName>
    <definedName name="TYPE" localSheetId="3">#REF!</definedName>
    <definedName name="TYPE" localSheetId="4">#REF!</definedName>
    <definedName name="TYPE" localSheetId="5">#REF!</definedName>
    <definedName name="TYPE">#REF!</definedName>
    <definedName name="TYPEEA" localSheetId="1">#REF!</definedName>
    <definedName name="TYPEEA" localSheetId="0">#REF!</definedName>
    <definedName name="TYPEEA" localSheetId="2">#REF!</definedName>
    <definedName name="TYPEEA" localSheetId="3">#REF!</definedName>
    <definedName name="TYPEEA" localSheetId="4">#REF!</definedName>
    <definedName name="TYPEEA" localSheetId="5">#REF!</definedName>
    <definedName name="TYPEEA">#REF!</definedName>
    <definedName name="UNIT" localSheetId="1">#REF!</definedName>
    <definedName name="UNIT" localSheetId="0">#REF!</definedName>
    <definedName name="UNIT" localSheetId="2">#REF!</definedName>
    <definedName name="UNIT" localSheetId="3">#REF!</definedName>
    <definedName name="UNIT" localSheetId="4">#REF!</definedName>
    <definedName name="UNIT" localSheetId="5">#REF!</definedName>
    <definedName name="UNIT">#REF!</definedName>
    <definedName name="건물별분석" localSheetId="1">[7]골조시행!#REF!</definedName>
    <definedName name="건물별분석" localSheetId="0">[7]골조시행!#REF!</definedName>
    <definedName name="건물별분석" localSheetId="2">[7]골조시행!#REF!</definedName>
    <definedName name="건물별분석" localSheetId="3">[7]골조시행!#REF!</definedName>
    <definedName name="건물별분석" localSheetId="4">[7]골조시행!#REF!</definedName>
    <definedName name="건물별분석" localSheetId="5">[7]골조시행!#REF!</definedName>
    <definedName name="건물별분석">[7]골조시행!#REF!</definedName>
    <definedName name="見____積____書" localSheetId="1">#REF!</definedName>
    <definedName name="見____積____書" localSheetId="0">#REF!</definedName>
    <definedName name="見____積____書" localSheetId="2">#REF!</definedName>
    <definedName name="見____積____書" localSheetId="3">#REF!</definedName>
    <definedName name="見____積____書" localSheetId="4">#REF!</definedName>
    <definedName name="見____積____書" localSheetId="5">#REF!</definedName>
    <definedName name="見____積____書">#REF!</definedName>
    <definedName name="견적품의" localSheetId="1">#REF!</definedName>
    <definedName name="견적품의" localSheetId="0">#REF!</definedName>
    <definedName name="견적품의" localSheetId="2">#REF!</definedName>
    <definedName name="견적품의" localSheetId="3">#REF!</definedName>
    <definedName name="견적품의" localSheetId="4">#REF!</definedName>
    <definedName name="견적품의" localSheetId="5">#REF!</definedName>
    <definedName name="견적품의">#REF!</definedName>
    <definedName name="경비" localSheetId="1">[8]일위대가표!#REF!</definedName>
    <definedName name="경비" localSheetId="0">[8]일위대가표!#REF!</definedName>
    <definedName name="경비" localSheetId="2">[8]일위대가표!#REF!</definedName>
    <definedName name="경비" localSheetId="3">[8]일위대가표!#REF!</definedName>
    <definedName name="경비" localSheetId="4">[8]일위대가표!#REF!</definedName>
    <definedName name="경비" localSheetId="5">[8]일위대가표!#REF!</definedName>
    <definedName name="경비">[8]일위대가표!#REF!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localSheetId="3" hidden="1">#REF!</definedName>
    <definedName name="경비1" localSheetId="4" hidden="1">#REF!</definedName>
    <definedName name="경비1" localSheetId="5" hidden="1">#REF!</definedName>
    <definedName name="경비1" hidden="1">#REF!</definedName>
    <definedName name="경비2" localSheetId="1">#REF!</definedName>
    <definedName name="경비2" localSheetId="0">#REF!</definedName>
    <definedName name="경비2" localSheetId="2">#REF!</definedName>
    <definedName name="경비2" localSheetId="3">#REF!</definedName>
    <definedName name="경비2" localSheetId="4">#REF!</definedName>
    <definedName name="경비2" localSheetId="5">#REF!</definedName>
    <definedName name="경비2">#REF!</definedName>
    <definedName name="경비기준" localSheetId="1">#REF!</definedName>
    <definedName name="경비기준" localSheetId="0">#REF!</definedName>
    <definedName name="경비기준" localSheetId="2">#REF!</definedName>
    <definedName name="경비기준" localSheetId="3">#REF!</definedName>
    <definedName name="경비기준" localSheetId="4">#REF!</definedName>
    <definedName name="경비기준" localSheetId="5">#REF!</definedName>
    <definedName name="경비기준">#REF!</definedName>
    <definedName name="경비참고DATA" localSheetId="1">#REF!</definedName>
    <definedName name="경비참고DATA" localSheetId="0">#REF!</definedName>
    <definedName name="경비참고DATA" localSheetId="2">#REF!</definedName>
    <definedName name="경비참고DATA" localSheetId="3">#REF!</definedName>
    <definedName name="경비참고DATA" localSheetId="4">#REF!</definedName>
    <definedName name="경비참고DATA" localSheetId="5">#REF!</definedName>
    <definedName name="경비참고DATA">#REF!</definedName>
    <definedName name="공사분석" localSheetId="1">[7]골조시행!#REF!</definedName>
    <definedName name="공사분석" localSheetId="0">[7]골조시행!#REF!</definedName>
    <definedName name="공사분석" localSheetId="2">[7]골조시행!#REF!</definedName>
    <definedName name="공사분석" localSheetId="3">[7]골조시행!#REF!</definedName>
    <definedName name="공사분석" localSheetId="4">[7]골조시행!#REF!</definedName>
    <definedName name="공사분석" localSheetId="5">[7]골조시행!#REF!</definedName>
    <definedName name="공사분석">[7]골조시행!#REF!</definedName>
    <definedName name="금문" localSheetId="1">#REF!</definedName>
    <definedName name="금문" localSheetId="0">#REF!</definedName>
    <definedName name="금문" localSheetId="2">#REF!</definedName>
    <definedName name="금문" localSheetId="3">#REF!</definedName>
    <definedName name="금문" localSheetId="4">#REF!</definedName>
    <definedName name="금문" localSheetId="5">#REF!</definedName>
    <definedName name="금문">#REF!</definedName>
    <definedName name="금문가설" localSheetId="1">[7]골조시행!#REF!</definedName>
    <definedName name="금문가설" localSheetId="0">[7]골조시행!#REF!</definedName>
    <definedName name="금문가설" localSheetId="2">[7]골조시행!#REF!</definedName>
    <definedName name="금문가설" localSheetId="3">[7]골조시행!#REF!</definedName>
    <definedName name="금문가설" localSheetId="4">[7]골조시행!#REF!</definedName>
    <definedName name="금문가설" localSheetId="5">[7]골조시행!#REF!</definedName>
    <definedName name="금문가설">[7]골조시행!#REF!</definedName>
    <definedName name="기본입력" localSheetId="1">[7]골조시행!#REF!</definedName>
    <definedName name="기본입력" localSheetId="0">[7]골조시행!#REF!</definedName>
    <definedName name="기본입력" localSheetId="2">[7]골조시행!#REF!</definedName>
    <definedName name="기본입력" localSheetId="3">[7]골조시행!#REF!</definedName>
    <definedName name="기본입력" localSheetId="4">[7]골조시행!#REF!</definedName>
    <definedName name="기본입력" localSheetId="5">[7]골조시행!#REF!</definedName>
    <definedName name="기본입력">[7]골조시행!#REF!</definedName>
    <definedName name="기본입력2" localSheetId="1">[7]골조시행!#REF!</definedName>
    <definedName name="기본입력2" localSheetId="0">[7]골조시행!#REF!</definedName>
    <definedName name="기본입력2" localSheetId="2">[7]골조시행!#REF!</definedName>
    <definedName name="기본입력2" localSheetId="3">[7]골조시행!#REF!</definedName>
    <definedName name="기본입력2" localSheetId="4">[7]골조시행!#REF!</definedName>
    <definedName name="기본입력2" localSheetId="5">[7]골조시행!#REF!</definedName>
    <definedName name="기본입력2">[7]골조시행!#REF!</definedName>
    <definedName name="기본입력참고Data" localSheetId="1">#REF!</definedName>
    <definedName name="기본입력참고Data" localSheetId="0">#REF!</definedName>
    <definedName name="기본입력참고Data" localSheetId="2">#REF!</definedName>
    <definedName name="기본입력참고Data" localSheetId="3">#REF!</definedName>
    <definedName name="기본입력참고Data" localSheetId="4">#REF!</definedName>
    <definedName name="기본입력참고Data" localSheetId="5">#REF!</definedName>
    <definedName name="기본입력참고Data">#REF!</definedName>
    <definedName name="기본입력화면" localSheetId="1">#REF!</definedName>
    <definedName name="기본입력화면" localSheetId="0">#REF!</definedName>
    <definedName name="기본입력화면" localSheetId="2">#REF!</definedName>
    <definedName name="기본입력화면" localSheetId="3">#REF!</definedName>
    <definedName name="기본입력화면" localSheetId="4">#REF!</definedName>
    <definedName name="기본입력화면" localSheetId="5">#REF!</definedName>
    <definedName name="기본입력화면">#REF!</definedName>
    <definedName name="단가" localSheetId="1">#REF!</definedName>
    <definedName name="단가" localSheetId="0">#REF!</definedName>
    <definedName name="단가" localSheetId="2">#REF!</definedName>
    <definedName name="단가" localSheetId="3">#REF!</definedName>
    <definedName name="단가" localSheetId="4">#REF!</definedName>
    <definedName name="단가" localSheetId="5">#REF!</definedName>
    <definedName name="단가">#REF!</definedName>
    <definedName name="대비1" localSheetId="1">[7]골조시행!#REF!</definedName>
    <definedName name="대비1" localSheetId="0">[7]골조시행!#REF!</definedName>
    <definedName name="대비1" localSheetId="2">[7]골조시행!#REF!</definedName>
    <definedName name="대비1" localSheetId="3">[7]골조시행!#REF!</definedName>
    <definedName name="대비1" localSheetId="4">[7]골조시행!#REF!</definedName>
    <definedName name="대비1" localSheetId="5">[7]골조시행!#REF!</definedName>
    <definedName name="대비1">[7]골조시행!#REF!</definedName>
    <definedName name="대비3" localSheetId="1">[7]골조시행!#REF!</definedName>
    <definedName name="대비3" localSheetId="0">[7]골조시행!#REF!</definedName>
    <definedName name="대비3" localSheetId="2">[7]골조시행!#REF!</definedName>
    <definedName name="대비3" localSheetId="3">[7]골조시행!#REF!</definedName>
    <definedName name="대비3" localSheetId="4">[7]골조시행!#REF!</definedName>
    <definedName name="대비3" localSheetId="5">[7]골조시행!#REF!</definedName>
    <definedName name="대비3">[7]골조시행!#REF!</definedName>
    <definedName name="대비5">#N/A</definedName>
    <definedName name="대비표" localSheetId="1">[9]골조시행!#REF!</definedName>
    <definedName name="대비표" localSheetId="0">[9]골조시행!#REF!</definedName>
    <definedName name="대비표" localSheetId="2">[9]골조시행!#REF!</definedName>
    <definedName name="대비표" localSheetId="3">[9]골조시행!#REF!</definedName>
    <definedName name="대비표" localSheetId="4">[9]골조시행!#REF!</definedName>
    <definedName name="대비표" localSheetId="5">[10]골조시행!#REF!</definedName>
    <definedName name="대비표">[10]골조시행!#REF!</definedName>
    <definedName name="대ㅣㅂ2">#N/A</definedName>
    <definedName name="동별" localSheetId="1">[7]골조시행!#REF!</definedName>
    <definedName name="동별" localSheetId="0">[7]골조시행!#REF!</definedName>
    <definedName name="동별" localSheetId="2">[7]골조시행!#REF!</definedName>
    <definedName name="동별" localSheetId="3">[7]골조시행!#REF!</definedName>
    <definedName name="동별" localSheetId="4">[7]골조시행!#REF!</definedName>
    <definedName name="동별" localSheetId="5">[7]골조시행!#REF!</definedName>
    <definedName name="동별">[7]골조시행!#REF!</definedName>
    <definedName name="동별1" localSheetId="1">[9]골조시행!#REF!</definedName>
    <definedName name="동별1" localSheetId="0">[9]골조시행!#REF!</definedName>
    <definedName name="동별1" localSheetId="2">[9]골조시행!#REF!</definedName>
    <definedName name="동별1" localSheetId="3">[9]골조시행!#REF!</definedName>
    <definedName name="동별1" localSheetId="4">[9]골조시행!#REF!</definedName>
    <definedName name="동별1">[10]골조시행!#REF!</definedName>
    <definedName name="마" localSheetId="1">'[11]1차설계변경내역'!#REF!</definedName>
    <definedName name="마" localSheetId="0">'[11]1차설계변경내역'!#REF!</definedName>
    <definedName name="마" localSheetId="2">'[11]1차설계변경내역'!#REF!</definedName>
    <definedName name="마" localSheetId="3">'[11]1차설계변경내역'!#REF!</definedName>
    <definedName name="마" localSheetId="4">'[11]1차설계변경내역'!#REF!</definedName>
    <definedName name="마">'[12]1차설계변경내역'!#REF!</definedName>
    <definedName name="맑은물임대테이블" localSheetId="1">#REF!</definedName>
    <definedName name="맑은물임대테이블" localSheetId="0">#REF!</definedName>
    <definedName name="맑은물임대테이블" localSheetId="2">#REF!</definedName>
    <definedName name="맑은물임대테이블" localSheetId="3">#REF!</definedName>
    <definedName name="맑은물임대테이블" localSheetId="4">#REF!</definedName>
    <definedName name="맑은물임대테이블" localSheetId="5">#REF!</definedName>
    <definedName name="맑은물임대테이블">#REF!</definedName>
    <definedName name="매입세산출" localSheetId="1">[7]골조시행!#REF!</definedName>
    <definedName name="매입세산출" localSheetId="0">[7]골조시행!#REF!</definedName>
    <definedName name="매입세산출" localSheetId="2">[7]골조시행!#REF!</definedName>
    <definedName name="매입세산출" localSheetId="3">[7]골조시행!#REF!</definedName>
    <definedName name="매입세산출" localSheetId="4">[7]골조시행!#REF!</definedName>
    <definedName name="매입세산출" localSheetId="5">[7]골조시행!#REF!</definedName>
    <definedName name="매입세산출">[7]골조시행!#REF!</definedName>
    <definedName name="분석" localSheetId="1">[7]골조시행!#REF!</definedName>
    <definedName name="분석" localSheetId="0">[7]골조시행!#REF!</definedName>
    <definedName name="분석" localSheetId="2">[7]골조시행!#REF!</definedName>
    <definedName name="분석" localSheetId="3">[7]골조시행!#REF!</definedName>
    <definedName name="분석" localSheetId="4">[7]골조시행!#REF!</definedName>
    <definedName name="분석">[7]골조시행!#REF!</definedName>
    <definedName name="성" localSheetId="1">[7]골조시행!#REF!</definedName>
    <definedName name="성" localSheetId="0">[7]골조시행!#REF!</definedName>
    <definedName name="성" localSheetId="2">[7]골조시행!#REF!</definedName>
    <definedName name="성" localSheetId="3">[7]골조시행!#REF!</definedName>
    <definedName name="성" localSheetId="4">[7]골조시행!#REF!</definedName>
    <definedName name="성">[7]골조시행!#REF!</definedName>
    <definedName name="성내중건임대테이블" localSheetId="1">#REF!</definedName>
    <definedName name="성내중건임대테이블" localSheetId="0">#REF!</definedName>
    <definedName name="성내중건임대테이블" localSheetId="2">#REF!</definedName>
    <definedName name="성내중건임대테이블" localSheetId="3">#REF!</definedName>
    <definedName name="성내중건임대테이블" localSheetId="4">#REF!</definedName>
    <definedName name="성내중건임대테이블" localSheetId="5">#REF!</definedName>
    <definedName name="성내중건임대테이블">#REF!</definedName>
    <definedName name="실행예산" localSheetId="1">#REF!</definedName>
    <definedName name="실행예산" localSheetId="0">#REF!</definedName>
    <definedName name="실행예산" localSheetId="2">#REF!</definedName>
    <definedName name="실행예산" localSheetId="3">#REF!</definedName>
    <definedName name="실행예산" localSheetId="4">#REF!</definedName>
    <definedName name="실행예산" localSheetId="5">#REF!</definedName>
    <definedName name="실행예산">#REF!</definedName>
    <definedName name="안산">#N/A</definedName>
    <definedName name="안산고39" localSheetId="1">[9]골조시행!#REF!</definedName>
    <definedName name="안산고39" localSheetId="0">[9]골조시행!#REF!</definedName>
    <definedName name="안산고39" localSheetId="2">[9]골조시행!#REF!</definedName>
    <definedName name="안산고39" localSheetId="3">[9]골조시행!#REF!</definedName>
    <definedName name="안산고39" localSheetId="4">[9]골조시행!#REF!</definedName>
    <definedName name="안산고39" localSheetId="5">[10]골조시행!#REF!</definedName>
    <definedName name="안산고39">[10]골조시행!#REF!</definedName>
    <definedName name="조사" localSheetId="1">[13]지질조사!$A$19:$F$24</definedName>
    <definedName name="조사" localSheetId="0">[13]지질조사!$A$19:$F$24</definedName>
    <definedName name="조사" localSheetId="2">[13]지질조사!$A$19:$F$24</definedName>
    <definedName name="조사" localSheetId="3">[13]지질조사!$A$19:$F$24</definedName>
    <definedName name="조사" localSheetId="4">[13]지질조사!$A$19:$F$24</definedName>
    <definedName name="조사">[14]지질조사!$A$19:$F$24</definedName>
    <definedName name="지질" localSheetId="1">#REF!</definedName>
    <definedName name="지질" localSheetId="0">#REF!</definedName>
    <definedName name="지질" localSheetId="2">#REF!</definedName>
    <definedName name="지질" localSheetId="3">#REF!</definedName>
    <definedName name="지질" localSheetId="4">#REF!</definedName>
    <definedName name="지질" localSheetId="5">#REF!</definedName>
    <definedName name="지질">#REF!</definedName>
    <definedName name="지질2" localSheetId="1">#REF!</definedName>
    <definedName name="지질2" localSheetId="0">#REF!</definedName>
    <definedName name="지질2" localSheetId="2">#REF!</definedName>
    <definedName name="지질2" localSheetId="3">#REF!</definedName>
    <definedName name="지질2" localSheetId="4">#REF!</definedName>
    <definedName name="지질2" localSheetId="5">#REF!</definedName>
    <definedName name="지질2">#REF!</definedName>
    <definedName name="직접노무비" localSheetId="1">[8]일위대가표!#REF!</definedName>
    <definedName name="직접노무비" localSheetId="0">[8]일위대가표!#REF!</definedName>
    <definedName name="직접노무비" localSheetId="2">[8]일위대가표!#REF!</definedName>
    <definedName name="직접노무비" localSheetId="3">[8]일위대가표!#REF!</definedName>
    <definedName name="직접노무비" localSheetId="4">[8]일위대가표!#REF!</definedName>
    <definedName name="직접노무비" localSheetId="5">[8]일위대가표!#REF!</definedName>
    <definedName name="직접노무비">[8]일위대가표!#REF!</definedName>
    <definedName name="직접재료비" localSheetId="1">[8]일위대가표!#REF!</definedName>
    <definedName name="직접재료비" localSheetId="0">[8]일위대가표!#REF!</definedName>
    <definedName name="직접재료비" localSheetId="2">[8]일위대가표!#REF!</definedName>
    <definedName name="직접재료비" localSheetId="3">[8]일위대가표!#REF!</definedName>
    <definedName name="직접재료비" localSheetId="4">[8]일위대가표!#REF!</definedName>
    <definedName name="직접재료비" localSheetId="5">[8]일위대가표!#REF!</definedName>
    <definedName name="직접재료비">[8]일위대가표!#REF!</definedName>
    <definedName name="직종" localSheetId="1">#REF!</definedName>
    <definedName name="직종" localSheetId="0">#REF!</definedName>
    <definedName name="직종" localSheetId="2">#REF!</definedName>
    <definedName name="직종" localSheetId="3">#REF!</definedName>
    <definedName name="직종" localSheetId="4">#REF!</definedName>
    <definedName name="직종" localSheetId="5">#REF!</definedName>
    <definedName name="직종">#REF!</definedName>
    <definedName name="ㅊ3" localSheetId="1">#REF!</definedName>
    <definedName name="ㅊ3" localSheetId="0">#REF!</definedName>
    <definedName name="ㅊ3" localSheetId="2">#REF!</definedName>
    <definedName name="ㅊ3" localSheetId="3">#REF!</definedName>
    <definedName name="ㅊ3" localSheetId="4">#REF!</definedName>
    <definedName name="ㅊ3" localSheetId="5">#REF!</definedName>
    <definedName name="ㅊ3">#REF!</definedName>
    <definedName name="총괄">#N/A</definedName>
    <definedName name="총함계" localSheetId="1">#REF!</definedName>
    <definedName name="총함계" localSheetId="0">#REF!</definedName>
    <definedName name="총함계" localSheetId="2">#REF!</definedName>
    <definedName name="총함계" localSheetId="3">#REF!</definedName>
    <definedName name="총함계" localSheetId="4">#REF!</definedName>
    <definedName name="총함계" localSheetId="5">#REF!</definedName>
    <definedName name="총함계">#REF!</definedName>
    <definedName name="최종2" localSheetId="1">'[11]1차설계변경내역'!#REF!</definedName>
    <definedName name="최종2" localSheetId="0">'[11]1차설계변경내역'!#REF!</definedName>
    <definedName name="최종2" localSheetId="2">'[11]1차설계변경내역'!#REF!</definedName>
    <definedName name="최종2" localSheetId="3">'[11]1차설계변경내역'!#REF!</definedName>
    <definedName name="최종2" localSheetId="4">'[11]1차설계변경내역'!#REF!</definedName>
    <definedName name="최종2" localSheetId="5">'[12]1차설계변경내역'!#REF!</definedName>
    <definedName name="최종2">'[12]1차설계변경내역'!#REF!</definedName>
    <definedName name="최종대비표">#N/A</definedName>
    <definedName name="타사공사비1" localSheetId="1" hidden="1">#REF!</definedName>
    <definedName name="타사공사비1" localSheetId="0" hidden="1">#REF!</definedName>
    <definedName name="타사공사비1" localSheetId="2" hidden="1">#REF!</definedName>
    <definedName name="타사공사비1" localSheetId="3" hidden="1">#REF!</definedName>
    <definedName name="타사공사비1" localSheetId="4" hidden="1">#REF!</definedName>
    <definedName name="타사공사비1" localSheetId="5" hidden="1">#REF!</definedName>
    <definedName name="타사공사비1" hidden="1">#REF!</definedName>
    <definedName name="통합사무실Data" localSheetId="1">#REF!</definedName>
    <definedName name="통합사무실Data" localSheetId="0">#REF!</definedName>
    <definedName name="통합사무실Data" localSheetId="2">#REF!</definedName>
    <definedName name="통합사무실Data" localSheetId="3">#REF!</definedName>
    <definedName name="통합사무실Data" localSheetId="4">#REF!</definedName>
    <definedName name="통합사무실Data" localSheetId="5">#REF!</definedName>
    <definedName name="통합사무실Data">#REF!</definedName>
    <definedName name="합계" localSheetId="1">'동바리,비계견적서'!#REF!</definedName>
    <definedName name="합계" localSheetId="0">'동바리,비계견적서(자재만남품)'!#REF!</definedName>
    <definedName name="합계" localSheetId="2">동바리견적서!#REF!</definedName>
    <definedName name="합계" localSheetId="3">비계견적서!#REF!</definedName>
    <definedName name="합계" localSheetId="4">'비계견적서(석재비계)'!#REF!</definedName>
    <definedName name="합계" localSheetId="5">#REF!</definedName>
    <definedName name="합계">#REF!</definedName>
    <definedName name="현장여건" localSheetId="1">#REF!</definedName>
    <definedName name="현장여건" localSheetId="0">#REF!</definedName>
    <definedName name="현장여건" localSheetId="2">#REF!</definedName>
    <definedName name="현장여건" localSheetId="3">#REF!</definedName>
    <definedName name="현장여건" localSheetId="4">#REF!</definedName>
    <definedName name="현장여건" localSheetId="5">#REF!</definedName>
    <definedName name="현장여건">#REF!</definedName>
    <definedName name="환경복리2" localSheetId="1">[7]골조시행!#REF!</definedName>
    <definedName name="환경복리2" localSheetId="0">[7]골조시행!#REF!</definedName>
    <definedName name="환경복리2" localSheetId="2">[7]골조시행!#REF!</definedName>
    <definedName name="환경복리2" localSheetId="3">[7]골조시행!#REF!</definedName>
    <definedName name="환경복리2" localSheetId="4">[7]골조시행!#REF!</definedName>
    <definedName name="환경복리2" localSheetId="5">[7]골조시행!#REF!</definedName>
    <definedName name="환경복리2">[7]골조시행!#REF!</definedName>
    <definedName name="ㅠ121" localSheetId="1">#REF!</definedName>
    <definedName name="ㅠ121" localSheetId="0">#REF!</definedName>
    <definedName name="ㅠ121" localSheetId="2">#REF!</definedName>
    <definedName name="ㅠ121" localSheetId="3">#REF!</definedName>
    <definedName name="ㅠ121" localSheetId="4">#REF!</definedName>
    <definedName name="ㅠ121" localSheetId="5">#REF!</definedName>
    <definedName name="ㅠ12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26" l="1"/>
  <c r="J19" i="26"/>
  <c r="G19" i="26"/>
  <c r="I14" i="26"/>
  <c r="E14" i="26"/>
  <c r="J13" i="26"/>
  <c r="L12" i="26"/>
  <c r="M12" i="26" s="1"/>
  <c r="M14" i="26" s="1"/>
  <c r="J12" i="26"/>
  <c r="J14" i="26" s="1"/>
  <c r="J21" i="26" s="1"/>
  <c r="G12" i="26"/>
  <c r="G14" i="26" s="1"/>
  <c r="I58" i="25"/>
  <c r="Q53" i="25"/>
  <c r="P53" i="25"/>
  <c r="S53" i="25" s="1"/>
  <c r="I53" i="25"/>
  <c r="H53" i="25"/>
  <c r="E53" i="25"/>
  <c r="Q52" i="25"/>
  <c r="P52" i="25"/>
  <c r="T52" i="25" s="1"/>
  <c r="I52" i="25"/>
  <c r="H52" i="25"/>
  <c r="E52" i="25"/>
  <c r="T51" i="25"/>
  <c r="S51" i="25"/>
  <c r="R51" i="25"/>
  <c r="Q51" i="25"/>
  <c r="P51" i="25"/>
  <c r="I51" i="25"/>
  <c r="H51" i="25"/>
  <c r="E51" i="25"/>
  <c r="Q50" i="25"/>
  <c r="P50" i="25"/>
  <c r="R50" i="25" s="1"/>
  <c r="I50" i="25"/>
  <c r="H50" i="25"/>
  <c r="E50" i="25"/>
  <c r="Q49" i="25"/>
  <c r="P49" i="25"/>
  <c r="T49" i="25" s="1"/>
  <c r="I49" i="25"/>
  <c r="H49" i="25"/>
  <c r="E49" i="25"/>
  <c r="T48" i="25"/>
  <c r="S48" i="25"/>
  <c r="R48" i="25"/>
  <c r="Q48" i="25"/>
  <c r="P48" i="25"/>
  <c r="I48" i="25"/>
  <c r="H48" i="25"/>
  <c r="E48" i="25"/>
  <c r="Q47" i="25"/>
  <c r="P47" i="25"/>
  <c r="T47" i="25" s="1"/>
  <c r="I47" i="25"/>
  <c r="H47" i="25"/>
  <c r="E47" i="25"/>
  <c r="Q46" i="25"/>
  <c r="P46" i="25"/>
  <c r="T46" i="25" s="1"/>
  <c r="I46" i="25"/>
  <c r="H46" i="25"/>
  <c r="E46" i="25"/>
  <c r="T45" i="25"/>
  <c r="S45" i="25"/>
  <c r="R45" i="25"/>
  <c r="Q45" i="25"/>
  <c r="P45" i="25"/>
  <c r="I45" i="25"/>
  <c r="H45" i="25"/>
  <c r="E45" i="25"/>
  <c r="Q44" i="25"/>
  <c r="P44" i="25"/>
  <c r="T44" i="25" s="1"/>
  <c r="I44" i="25"/>
  <c r="H44" i="25"/>
  <c r="E44" i="25"/>
  <c r="Q43" i="25"/>
  <c r="P43" i="25"/>
  <c r="R43" i="25" s="1"/>
  <c r="I43" i="25"/>
  <c r="H43" i="25"/>
  <c r="E43" i="25"/>
  <c r="T42" i="25"/>
  <c r="S42" i="25"/>
  <c r="R42" i="25"/>
  <c r="Q42" i="25"/>
  <c r="P42" i="25"/>
  <c r="I42" i="25"/>
  <c r="H42" i="25"/>
  <c r="E42" i="25"/>
  <c r="Q41" i="25"/>
  <c r="P41" i="25"/>
  <c r="T41" i="25" s="1"/>
  <c r="I41" i="25"/>
  <c r="H41" i="25"/>
  <c r="E41" i="25"/>
  <c r="Q40" i="25"/>
  <c r="P40" i="25"/>
  <c r="T40" i="25" s="1"/>
  <c r="I40" i="25"/>
  <c r="H40" i="25"/>
  <c r="E40" i="25"/>
  <c r="T39" i="25"/>
  <c r="S39" i="25"/>
  <c r="R39" i="25"/>
  <c r="Q39" i="25"/>
  <c r="P39" i="25"/>
  <c r="I39" i="25"/>
  <c r="H39" i="25"/>
  <c r="E39" i="25"/>
  <c r="Q38" i="25"/>
  <c r="P38" i="25"/>
  <c r="S38" i="25" s="1"/>
  <c r="I38" i="25"/>
  <c r="H38" i="25"/>
  <c r="E38" i="25"/>
  <c r="Q37" i="25"/>
  <c r="P37" i="25"/>
  <c r="R37" i="25" s="1"/>
  <c r="I37" i="25"/>
  <c r="H37" i="25"/>
  <c r="E37" i="25"/>
  <c r="T36" i="25"/>
  <c r="S36" i="25"/>
  <c r="R36" i="25"/>
  <c r="Q36" i="25"/>
  <c r="P36" i="25"/>
  <c r="I36" i="25"/>
  <c r="H36" i="25"/>
  <c r="E36" i="25"/>
  <c r="Q35" i="25"/>
  <c r="P35" i="25"/>
  <c r="S35" i="25" s="1"/>
  <c r="I35" i="25"/>
  <c r="H35" i="25"/>
  <c r="E35" i="25"/>
  <c r="Q34" i="25"/>
  <c r="P34" i="25"/>
  <c r="T34" i="25" s="1"/>
  <c r="I34" i="25"/>
  <c r="H34" i="25"/>
  <c r="E34" i="25"/>
  <c r="T33" i="25"/>
  <c r="S33" i="25"/>
  <c r="R33" i="25"/>
  <c r="Q33" i="25"/>
  <c r="P33" i="25"/>
  <c r="I33" i="25"/>
  <c r="H33" i="25"/>
  <c r="E33" i="25"/>
  <c r="Q32" i="25"/>
  <c r="P32" i="25"/>
  <c r="R32" i="25" s="1"/>
  <c r="I32" i="25"/>
  <c r="H32" i="25"/>
  <c r="E32" i="25"/>
  <c r="Q31" i="25"/>
  <c r="P31" i="25"/>
  <c r="R31" i="25" s="1"/>
  <c r="I31" i="25"/>
  <c r="H31" i="25"/>
  <c r="E31" i="25"/>
  <c r="T30" i="25"/>
  <c r="S30" i="25"/>
  <c r="R30" i="25"/>
  <c r="Q30" i="25"/>
  <c r="P30" i="25"/>
  <c r="I30" i="25"/>
  <c r="H30" i="25"/>
  <c r="E30" i="25"/>
  <c r="Q29" i="25"/>
  <c r="P29" i="25"/>
  <c r="R29" i="25" s="1"/>
  <c r="I29" i="25"/>
  <c r="H29" i="25"/>
  <c r="E29" i="25"/>
  <c r="Q28" i="25"/>
  <c r="P28" i="25"/>
  <c r="T28" i="25" s="1"/>
  <c r="I28" i="25"/>
  <c r="H28" i="25"/>
  <c r="E28" i="25"/>
  <c r="T27" i="25"/>
  <c r="S27" i="25"/>
  <c r="R27" i="25"/>
  <c r="Q27" i="25"/>
  <c r="P27" i="25"/>
  <c r="I27" i="25"/>
  <c r="H27" i="25"/>
  <c r="E27" i="25"/>
  <c r="Q26" i="25"/>
  <c r="P26" i="25"/>
  <c r="T26" i="25" s="1"/>
  <c r="I26" i="25"/>
  <c r="H26" i="25"/>
  <c r="E26" i="25"/>
  <c r="Q25" i="25"/>
  <c r="P25" i="25"/>
  <c r="T25" i="25" s="1"/>
  <c r="I25" i="25"/>
  <c r="H25" i="25"/>
  <c r="E25" i="25"/>
  <c r="T24" i="25"/>
  <c r="S24" i="25"/>
  <c r="R24" i="25"/>
  <c r="Q24" i="25"/>
  <c r="P24" i="25"/>
  <c r="I24" i="25"/>
  <c r="H24" i="25"/>
  <c r="E24" i="25"/>
  <c r="Q23" i="25"/>
  <c r="P23" i="25"/>
  <c r="T23" i="25" s="1"/>
  <c r="I23" i="25"/>
  <c r="H23" i="25"/>
  <c r="E23" i="25"/>
  <c r="Q22" i="25"/>
  <c r="P22" i="25"/>
  <c r="R22" i="25" s="1"/>
  <c r="I22" i="25"/>
  <c r="H22" i="25"/>
  <c r="E22" i="25"/>
  <c r="T21" i="25"/>
  <c r="S21" i="25"/>
  <c r="R21" i="25"/>
  <c r="Q21" i="25"/>
  <c r="P21" i="25"/>
  <c r="I21" i="25"/>
  <c r="H21" i="25"/>
  <c r="E21" i="25"/>
  <c r="Q20" i="25"/>
  <c r="P20" i="25"/>
  <c r="R20" i="25" s="1"/>
  <c r="I20" i="25"/>
  <c r="H20" i="25"/>
  <c r="E20" i="25"/>
  <c r="Q19" i="25"/>
  <c r="P19" i="25"/>
  <c r="R19" i="25" s="1"/>
  <c r="I19" i="25"/>
  <c r="H19" i="25"/>
  <c r="E19" i="25"/>
  <c r="T18" i="25"/>
  <c r="S18" i="25"/>
  <c r="R18" i="25"/>
  <c r="Q18" i="25"/>
  <c r="P18" i="25"/>
  <c r="I18" i="25"/>
  <c r="H18" i="25"/>
  <c r="E18" i="25"/>
  <c r="Q17" i="25"/>
  <c r="P17" i="25"/>
  <c r="T17" i="25" s="1"/>
  <c r="I17" i="25"/>
  <c r="H17" i="25"/>
  <c r="E17" i="25"/>
  <c r="Q16" i="25"/>
  <c r="P16" i="25"/>
  <c r="T16" i="25" s="1"/>
  <c r="I16" i="25"/>
  <c r="H16" i="25"/>
  <c r="E16" i="25"/>
  <c r="T15" i="25"/>
  <c r="S15" i="25"/>
  <c r="R15" i="25"/>
  <c r="Q15" i="25"/>
  <c r="P15" i="25"/>
  <c r="I15" i="25"/>
  <c r="H15" i="25"/>
  <c r="E15" i="25"/>
  <c r="Q14" i="25"/>
  <c r="P14" i="25"/>
  <c r="T14" i="25" s="1"/>
  <c r="I14" i="25"/>
  <c r="H14" i="25"/>
  <c r="E14" i="25"/>
  <c r="Q13" i="25"/>
  <c r="P13" i="25"/>
  <c r="S13" i="25" s="1"/>
  <c r="I13" i="25"/>
  <c r="H13" i="25"/>
  <c r="E13" i="25"/>
  <c r="T12" i="25"/>
  <c r="S12" i="25"/>
  <c r="R12" i="25"/>
  <c r="Q12" i="25"/>
  <c r="P12" i="25"/>
  <c r="I12" i="25"/>
  <c r="H12" i="25"/>
  <c r="E12" i="25"/>
  <c r="Q11" i="25"/>
  <c r="P11" i="25"/>
  <c r="R11" i="25" s="1"/>
  <c r="I11" i="25"/>
  <c r="H11" i="25"/>
  <c r="E11" i="25"/>
  <c r="L14" i="26" l="1"/>
  <c r="G21" i="26"/>
  <c r="M21" i="26" s="1"/>
  <c r="K8" i="26" s="1"/>
  <c r="E8" i="26" s="1"/>
  <c r="F14" i="26"/>
  <c r="H54" i="25"/>
  <c r="I54" i="25"/>
  <c r="E54" i="25"/>
  <c r="R17" i="25"/>
  <c r="R26" i="25"/>
  <c r="R53" i="25"/>
  <c r="S14" i="25"/>
  <c r="S20" i="25"/>
  <c r="S50" i="25"/>
  <c r="T29" i="25"/>
  <c r="T35" i="25"/>
  <c r="T38" i="25"/>
  <c r="T53" i="25"/>
  <c r="R13" i="25"/>
  <c r="R28" i="25"/>
  <c r="R34" i="25"/>
  <c r="R40" i="25"/>
  <c r="R52" i="25"/>
  <c r="S11" i="25"/>
  <c r="S17" i="25"/>
  <c r="S23" i="25"/>
  <c r="S29" i="25"/>
  <c r="S47" i="25"/>
  <c r="T11" i="25"/>
  <c r="T50" i="25"/>
  <c r="R16" i="25"/>
  <c r="R25" i="25"/>
  <c r="R46" i="25"/>
  <c r="S16" i="25"/>
  <c r="S19" i="25"/>
  <c r="S22" i="25"/>
  <c r="S25" i="25"/>
  <c r="S28" i="25"/>
  <c r="S31" i="25"/>
  <c r="S34" i="25"/>
  <c r="S37" i="25"/>
  <c r="S40" i="25"/>
  <c r="S43" i="25"/>
  <c r="S46" i="25"/>
  <c r="S49" i="25"/>
  <c r="S52" i="25"/>
  <c r="R14" i="25"/>
  <c r="R38" i="25"/>
  <c r="S26" i="25"/>
  <c r="S32" i="25"/>
  <c r="S41" i="25"/>
  <c r="T20" i="25"/>
  <c r="T32" i="25"/>
  <c r="R49" i="25"/>
  <c r="T13" i="25"/>
  <c r="T19" i="25"/>
  <c r="T22" i="25"/>
  <c r="T31" i="25"/>
  <c r="T37" i="25"/>
  <c r="T43" i="25"/>
  <c r="R23" i="25"/>
  <c r="R35" i="25"/>
  <c r="R41" i="25"/>
  <c r="R44" i="25"/>
  <c r="R47" i="25"/>
  <c r="S44" i="25"/>
  <c r="E58" i="25" l="1"/>
  <c r="J31" i="24"/>
  <c r="I20" i="24"/>
  <c r="J20" i="24" s="1"/>
  <c r="I19" i="24"/>
  <c r="J19" i="24" s="1"/>
  <c r="I15" i="24"/>
  <c r="J15" i="24" s="1"/>
  <c r="I14" i="24"/>
  <c r="J14" i="24" s="1"/>
  <c r="I13" i="24"/>
  <c r="J13" i="24" s="1"/>
  <c r="I12" i="24"/>
  <c r="J30" i="24"/>
  <c r="G30" i="24"/>
  <c r="E23" i="24"/>
  <c r="G20" i="24"/>
  <c r="G19" i="24"/>
  <c r="E17" i="24"/>
  <c r="G15" i="24"/>
  <c r="G14" i="24"/>
  <c r="G13" i="24"/>
  <c r="J12" i="24"/>
  <c r="G12" i="24"/>
  <c r="G23" i="24" l="1"/>
  <c r="F23" i="24" s="1"/>
  <c r="I23" i="24"/>
  <c r="G17" i="24"/>
  <c r="G32" i="24" s="1"/>
  <c r="J32" i="24" s="1"/>
  <c r="E8" i="24" s="1"/>
  <c r="J17" i="24"/>
  <c r="J23" i="24"/>
  <c r="J13" i="12"/>
  <c r="J16" i="22"/>
  <c r="J16" i="11"/>
  <c r="J19" i="23" l="1"/>
  <c r="G19" i="23"/>
  <c r="I19" i="23" s="1"/>
  <c r="F19" i="23"/>
  <c r="H19" i="23" s="1"/>
  <c r="E19" i="23"/>
  <c r="B19" i="23"/>
  <c r="T19" i="23"/>
  <c r="S19" i="23"/>
  <c r="R19" i="23"/>
  <c r="B26" i="23"/>
  <c r="B27" i="23"/>
  <c r="B28" i="23"/>
  <c r="B29" i="23"/>
  <c r="B30" i="23"/>
  <c r="B31" i="23"/>
  <c r="B32" i="23"/>
  <c r="B33" i="23"/>
  <c r="B34" i="23"/>
  <c r="B35" i="23"/>
  <c r="B25" i="23"/>
  <c r="E30" i="23"/>
  <c r="F30" i="23"/>
  <c r="G30" i="23"/>
  <c r="I30" i="23" s="1"/>
  <c r="H30" i="23"/>
  <c r="J30" i="23"/>
  <c r="E31" i="23"/>
  <c r="F31" i="23"/>
  <c r="G31" i="23"/>
  <c r="I31" i="23" s="1"/>
  <c r="H31" i="23"/>
  <c r="J31" i="23"/>
  <c r="E32" i="23"/>
  <c r="F32" i="23"/>
  <c r="G32" i="23"/>
  <c r="I32" i="23" s="1"/>
  <c r="H32" i="23"/>
  <c r="J32" i="23"/>
  <c r="E33" i="23"/>
  <c r="F33" i="23"/>
  <c r="H33" i="23" s="1"/>
  <c r="G33" i="23"/>
  <c r="I33" i="23" s="1"/>
  <c r="J33" i="23"/>
  <c r="E34" i="23"/>
  <c r="F34" i="23"/>
  <c r="H34" i="23" s="1"/>
  <c r="G34" i="23"/>
  <c r="I34" i="23"/>
  <c r="J34" i="23"/>
  <c r="E35" i="23"/>
  <c r="F35" i="23"/>
  <c r="H35" i="23" s="1"/>
  <c r="G35" i="23"/>
  <c r="I35" i="23" s="1"/>
  <c r="J35" i="23"/>
  <c r="E25" i="23"/>
  <c r="F25" i="23"/>
  <c r="H25" i="23" s="1"/>
  <c r="G25" i="23"/>
  <c r="I25" i="23"/>
  <c r="J25" i="23"/>
  <c r="E26" i="23"/>
  <c r="F26" i="23"/>
  <c r="H26" i="23" s="1"/>
  <c r="G26" i="23"/>
  <c r="I26" i="23" s="1"/>
  <c r="J26" i="23"/>
  <c r="E27" i="23"/>
  <c r="F27" i="23"/>
  <c r="H27" i="23" s="1"/>
  <c r="G27" i="23"/>
  <c r="I27" i="23"/>
  <c r="J27" i="23"/>
  <c r="J40" i="23"/>
  <c r="T35" i="23"/>
  <c r="S35" i="23"/>
  <c r="R35" i="23"/>
  <c r="T34" i="23"/>
  <c r="S34" i="23"/>
  <c r="R34" i="23"/>
  <c r="T33" i="23"/>
  <c r="S33" i="23"/>
  <c r="R33" i="23"/>
  <c r="T32" i="23"/>
  <c r="S32" i="23"/>
  <c r="R32" i="23"/>
  <c r="T31" i="23"/>
  <c r="S31" i="23"/>
  <c r="R31" i="23"/>
  <c r="T30" i="23"/>
  <c r="S30" i="23"/>
  <c r="R30" i="23"/>
  <c r="T29" i="23"/>
  <c r="S29" i="23"/>
  <c r="R29" i="23"/>
  <c r="J29" i="23"/>
  <c r="G29" i="23"/>
  <c r="I29" i="23" s="1"/>
  <c r="F29" i="23"/>
  <c r="H29" i="23" s="1"/>
  <c r="E29" i="23"/>
  <c r="T28" i="23"/>
  <c r="S28" i="23"/>
  <c r="R28" i="23"/>
  <c r="J28" i="23"/>
  <c r="G28" i="23"/>
  <c r="I28" i="23" s="1"/>
  <c r="F28" i="23"/>
  <c r="H28" i="23" s="1"/>
  <c r="E28" i="23"/>
  <c r="T27" i="23"/>
  <c r="S27" i="23"/>
  <c r="R27" i="23"/>
  <c r="T26" i="23"/>
  <c r="S26" i="23"/>
  <c r="R26" i="23"/>
  <c r="T25" i="23"/>
  <c r="S25" i="23"/>
  <c r="R25" i="23"/>
  <c r="T24" i="23"/>
  <c r="S24" i="23"/>
  <c r="R24" i="23"/>
  <c r="J24" i="23"/>
  <c r="I24" i="23"/>
  <c r="G24" i="23"/>
  <c r="F24" i="23"/>
  <c r="H24" i="23" s="1"/>
  <c r="E24" i="23"/>
  <c r="B24" i="23"/>
  <c r="T23" i="23"/>
  <c r="S23" i="23"/>
  <c r="R23" i="23"/>
  <c r="J23" i="23"/>
  <c r="H23" i="23"/>
  <c r="G23" i="23"/>
  <c r="I23" i="23" s="1"/>
  <c r="F23" i="23"/>
  <c r="E23" i="23"/>
  <c r="B23" i="23"/>
  <c r="T22" i="23"/>
  <c r="S22" i="23"/>
  <c r="R22" i="23"/>
  <c r="J22" i="23"/>
  <c r="G22" i="23"/>
  <c r="I22" i="23" s="1"/>
  <c r="F22" i="23"/>
  <c r="H22" i="23" s="1"/>
  <c r="E22" i="23"/>
  <c r="B22" i="23"/>
  <c r="T21" i="23"/>
  <c r="S21" i="23"/>
  <c r="R21" i="23"/>
  <c r="J21" i="23"/>
  <c r="G21" i="23"/>
  <c r="I21" i="23" s="1"/>
  <c r="F21" i="23"/>
  <c r="H21" i="23" s="1"/>
  <c r="E21" i="23"/>
  <c r="B21" i="23"/>
  <c r="T20" i="23"/>
  <c r="S20" i="23"/>
  <c r="R20" i="23"/>
  <c r="J20" i="23"/>
  <c r="G20" i="23"/>
  <c r="I20" i="23" s="1"/>
  <c r="F20" i="23"/>
  <c r="H20" i="23" s="1"/>
  <c r="E20" i="23"/>
  <c r="B20" i="23"/>
  <c r="T18" i="23"/>
  <c r="S18" i="23"/>
  <c r="R18" i="23"/>
  <c r="J18" i="23"/>
  <c r="G18" i="23"/>
  <c r="I18" i="23" s="1"/>
  <c r="F18" i="23"/>
  <c r="H18" i="23" s="1"/>
  <c r="E18" i="23"/>
  <c r="B18" i="23"/>
  <c r="T17" i="23"/>
  <c r="S17" i="23"/>
  <c r="R17" i="23"/>
  <c r="J17" i="23"/>
  <c r="G17" i="23"/>
  <c r="I17" i="23" s="1"/>
  <c r="F17" i="23"/>
  <c r="H17" i="23" s="1"/>
  <c r="E17" i="23"/>
  <c r="B17" i="23"/>
  <c r="T16" i="23"/>
  <c r="S16" i="23"/>
  <c r="R16" i="23"/>
  <c r="J16" i="23"/>
  <c r="H16" i="23"/>
  <c r="G16" i="23"/>
  <c r="I16" i="23" s="1"/>
  <c r="F16" i="23"/>
  <c r="E16" i="23"/>
  <c r="B16" i="23"/>
  <c r="T15" i="23"/>
  <c r="S15" i="23"/>
  <c r="R15" i="23"/>
  <c r="J15" i="23"/>
  <c r="G15" i="23"/>
  <c r="I15" i="23" s="1"/>
  <c r="F15" i="23"/>
  <c r="H15" i="23" s="1"/>
  <c r="E15" i="23"/>
  <c r="B15" i="23"/>
  <c r="T14" i="23"/>
  <c r="S14" i="23"/>
  <c r="R14" i="23"/>
  <c r="J14" i="23"/>
  <c r="G14" i="23"/>
  <c r="I14" i="23" s="1"/>
  <c r="F14" i="23"/>
  <c r="H14" i="23" s="1"/>
  <c r="E14" i="23"/>
  <c r="B14" i="23"/>
  <c r="T13" i="23"/>
  <c r="S13" i="23"/>
  <c r="R13" i="23"/>
  <c r="J13" i="23"/>
  <c r="G13" i="23"/>
  <c r="I13" i="23" s="1"/>
  <c r="F13" i="23"/>
  <c r="H13" i="23" s="1"/>
  <c r="E13" i="23"/>
  <c r="B13" i="23"/>
  <c r="T12" i="23"/>
  <c r="S12" i="23"/>
  <c r="R12" i="23"/>
  <c r="H12" i="23"/>
  <c r="G12" i="23"/>
  <c r="I12" i="23" s="1"/>
  <c r="F12" i="23"/>
  <c r="E12" i="23"/>
  <c r="T11" i="23"/>
  <c r="S11" i="23"/>
  <c r="R11" i="23"/>
  <c r="G11" i="23"/>
  <c r="I11" i="23" s="1"/>
  <c r="F11" i="23"/>
  <c r="H11" i="23" s="1"/>
  <c r="E11" i="23"/>
  <c r="E36" i="23" l="1"/>
  <c r="H36" i="23"/>
  <c r="I36" i="23"/>
  <c r="M22" i="22"/>
  <c r="J22" i="22"/>
  <c r="G22" i="22"/>
  <c r="L17" i="22"/>
  <c r="E17" i="22"/>
  <c r="L15" i="22"/>
  <c r="M15" i="22" s="1"/>
  <c r="J15" i="22"/>
  <c r="G15" i="22"/>
  <c r="L14" i="22"/>
  <c r="M14" i="22" s="1"/>
  <c r="J14" i="22"/>
  <c r="G14" i="22"/>
  <c r="L13" i="22"/>
  <c r="M13" i="22" s="1"/>
  <c r="J13" i="22"/>
  <c r="G13" i="22"/>
  <c r="L12" i="22"/>
  <c r="M12" i="22" s="1"/>
  <c r="J12" i="22"/>
  <c r="G12" i="22"/>
  <c r="G34" i="18"/>
  <c r="G33" i="18"/>
  <c r="G32" i="18"/>
  <c r="I32" i="18" s="1"/>
  <c r="G31" i="18"/>
  <c r="G30" i="18"/>
  <c r="G29" i="18"/>
  <c r="G28" i="18"/>
  <c r="G27" i="18"/>
  <c r="G26" i="18"/>
  <c r="G25" i="18"/>
  <c r="G24" i="18"/>
  <c r="G23" i="18"/>
  <c r="G22" i="18"/>
  <c r="G21" i="18"/>
  <c r="G20" i="18"/>
  <c r="I20" i="18" s="1"/>
  <c r="G19" i="18"/>
  <c r="G18" i="18"/>
  <c r="I18" i="18" s="1"/>
  <c r="G17" i="18"/>
  <c r="G16" i="18"/>
  <c r="G15" i="18"/>
  <c r="G14" i="18"/>
  <c r="I14" i="18" s="1"/>
  <c r="G13" i="18"/>
  <c r="I13" i="18" s="1"/>
  <c r="G12" i="18"/>
  <c r="I12" i="18" s="1"/>
  <c r="G11" i="18"/>
  <c r="F12" i="18"/>
  <c r="F11" i="18"/>
  <c r="F18" i="18"/>
  <c r="H18" i="18" s="1"/>
  <c r="F17" i="18"/>
  <c r="F16" i="18"/>
  <c r="F15" i="18"/>
  <c r="F14" i="18"/>
  <c r="F13" i="18"/>
  <c r="H13" i="18" s="1"/>
  <c r="F34" i="18"/>
  <c r="F33" i="18"/>
  <c r="F32" i="18"/>
  <c r="F31" i="18"/>
  <c r="F30" i="18"/>
  <c r="F29" i="18"/>
  <c r="F28" i="18"/>
  <c r="H28" i="18" s="1"/>
  <c r="F27" i="18"/>
  <c r="F26" i="18"/>
  <c r="F25" i="18"/>
  <c r="F24" i="18"/>
  <c r="F23" i="18"/>
  <c r="F22" i="18"/>
  <c r="F21" i="18"/>
  <c r="F20" i="18"/>
  <c r="F19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B34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15" i="18"/>
  <c r="B14" i="18"/>
  <c r="B13" i="18"/>
  <c r="J42" i="21"/>
  <c r="P37" i="21"/>
  <c r="T37" i="21" s="1"/>
  <c r="I37" i="21"/>
  <c r="H37" i="21"/>
  <c r="E37" i="21"/>
  <c r="P36" i="21"/>
  <c r="T36" i="21" s="1"/>
  <c r="I36" i="21"/>
  <c r="H36" i="21"/>
  <c r="E36" i="21"/>
  <c r="P35" i="21"/>
  <c r="T35" i="21" s="1"/>
  <c r="I35" i="21"/>
  <c r="H35" i="21"/>
  <c r="E35" i="21"/>
  <c r="P34" i="21"/>
  <c r="T34" i="21" s="1"/>
  <c r="I34" i="21"/>
  <c r="H34" i="21"/>
  <c r="E34" i="21"/>
  <c r="T33" i="21"/>
  <c r="S33" i="21"/>
  <c r="R33" i="21"/>
  <c r="P33" i="21"/>
  <c r="I33" i="21"/>
  <c r="H33" i="21"/>
  <c r="E33" i="21"/>
  <c r="P32" i="21"/>
  <c r="T32" i="21" s="1"/>
  <c r="I32" i="21"/>
  <c r="H32" i="21"/>
  <c r="E32" i="21"/>
  <c r="P31" i="21"/>
  <c r="S31" i="21" s="1"/>
  <c r="I31" i="21"/>
  <c r="H31" i="21"/>
  <c r="E31" i="21"/>
  <c r="P30" i="21"/>
  <c r="T30" i="21" s="1"/>
  <c r="I30" i="21"/>
  <c r="H30" i="21"/>
  <c r="E30" i="21"/>
  <c r="P29" i="21"/>
  <c r="T29" i="21" s="1"/>
  <c r="I29" i="21"/>
  <c r="H29" i="21"/>
  <c r="E29" i="21"/>
  <c r="T28" i="21"/>
  <c r="S28" i="21"/>
  <c r="R28" i="21"/>
  <c r="P28" i="21"/>
  <c r="I28" i="21"/>
  <c r="H28" i="21"/>
  <c r="E28" i="21"/>
  <c r="P27" i="21"/>
  <c r="T27" i="21" s="1"/>
  <c r="I27" i="21"/>
  <c r="H27" i="21"/>
  <c r="E27" i="21"/>
  <c r="T26" i="21"/>
  <c r="P26" i="21"/>
  <c r="R26" i="21" s="1"/>
  <c r="I26" i="21"/>
  <c r="H26" i="21"/>
  <c r="E26" i="21"/>
  <c r="R25" i="21"/>
  <c r="P25" i="21"/>
  <c r="T25" i="21" s="1"/>
  <c r="I25" i="21"/>
  <c r="H25" i="21"/>
  <c r="E25" i="21"/>
  <c r="P24" i="21"/>
  <c r="T24" i="21" s="1"/>
  <c r="I24" i="21"/>
  <c r="H24" i="21"/>
  <c r="E24" i="21"/>
  <c r="P23" i="21"/>
  <c r="T23" i="21" s="1"/>
  <c r="I23" i="21"/>
  <c r="H23" i="21"/>
  <c r="E23" i="21"/>
  <c r="P22" i="21"/>
  <c r="T22" i="21" s="1"/>
  <c r="I22" i="21"/>
  <c r="H22" i="21"/>
  <c r="E22" i="21"/>
  <c r="T21" i="21"/>
  <c r="P21" i="21"/>
  <c r="S21" i="21" s="1"/>
  <c r="I21" i="21"/>
  <c r="H21" i="21"/>
  <c r="E21" i="21"/>
  <c r="P20" i="21"/>
  <c r="T20" i="21" s="1"/>
  <c r="I20" i="21"/>
  <c r="H20" i="21"/>
  <c r="E20" i="21"/>
  <c r="P19" i="21"/>
  <c r="S19" i="21" s="1"/>
  <c r="I19" i="21"/>
  <c r="H19" i="21"/>
  <c r="E19" i="21"/>
  <c r="P18" i="21"/>
  <c r="T18" i="21" s="1"/>
  <c r="I18" i="21"/>
  <c r="H18" i="21"/>
  <c r="E18" i="21"/>
  <c r="P17" i="21"/>
  <c r="T17" i="21" s="1"/>
  <c r="I17" i="21"/>
  <c r="H17" i="21"/>
  <c r="E17" i="21"/>
  <c r="T16" i="21"/>
  <c r="R16" i="21"/>
  <c r="P16" i="21"/>
  <c r="S16" i="21" s="1"/>
  <c r="I16" i="21"/>
  <c r="H16" i="21"/>
  <c r="E16" i="21"/>
  <c r="P15" i="21"/>
  <c r="T15" i="21" s="1"/>
  <c r="I15" i="21"/>
  <c r="H15" i="21"/>
  <c r="E15" i="21"/>
  <c r="T14" i="21"/>
  <c r="P14" i="21"/>
  <c r="R14" i="21" s="1"/>
  <c r="I14" i="21"/>
  <c r="H14" i="21"/>
  <c r="E14" i="21"/>
  <c r="T13" i="21"/>
  <c r="S13" i="21"/>
  <c r="R13" i="21"/>
  <c r="I13" i="21"/>
  <c r="H13" i="21"/>
  <c r="E13" i="21"/>
  <c r="P12" i="21"/>
  <c r="S12" i="21" s="1"/>
  <c r="I12" i="21"/>
  <c r="H12" i="21"/>
  <c r="E12" i="21"/>
  <c r="S11" i="21"/>
  <c r="P11" i="21"/>
  <c r="T11" i="21" s="1"/>
  <c r="I11" i="21"/>
  <c r="H11" i="21"/>
  <c r="E11" i="21"/>
  <c r="J39" i="18"/>
  <c r="E13" i="18"/>
  <c r="E14" i="18"/>
  <c r="H14" i="18"/>
  <c r="E15" i="18"/>
  <c r="H15" i="18"/>
  <c r="E16" i="18"/>
  <c r="H16" i="18"/>
  <c r="E17" i="18"/>
  <c r="H17" i="18"/>
  <c r="E18" i="18"/>
  <c r="T34" i="18"/>
  <c r="I34" i="18"/>
  <c r="H34" i="18"/>
  <c r="E34" i="18"/>
  <c r="R33" i="18"/>
  <c r="T33" i="18"/>
  <c r="I33" i="18"/>
  <c r="H33" i="18"/>
  <c r="E33" i="18"/>
  <c r="T32" i="18"/>
  <c r="H32" i="18"/>
  <c r="E32" i="18"/>
  <c r="T31" i="18"/>
  <c r="I31" i="18"/>
  <c r="H31" i="18"/>
  <c r="E31" i="18"/>
  <c r="S30" i="18"/>
  <c r="I30" i="18"/>
  <c r="H30" i="18"/>
  <c r="E30" i="18"/>
  <c r="T29" i="18"/>
  <c r="I29" i="18"/>
  <c r="H29" i="18"/>
  <c r="E29" i="18"/>
  <c r="T28" i="18"/>
  <c r="I28" i="18"/>
  <c r="E28" i="18"/>
  <c r="R27" i="18"/>
  <c r="I27" i="18"/>
  <c r="H27" i="18"/>
  <c r="E27" i="18"/>
  <c r="R26" i="18"/>
  <c r="I26" i="18"/>
  <c r="H26" i="18"/>
  <c r="E26" i="18"/>
  <c r="T25" i="18"/>
  <c r="I25" i="18"/>
  <c r="H25" i="18"/>
  <c r="E25" i="18"/>
  <c r="T24" i="18"/>
  <c r="I24" i="18"/>
  <c r="H24" i="18"/>
  <c r="E24" i="18"/>
  <c r="T23" i="18"/>
  <c r="I23" i="18"/>
  <c r="H23" i="18"/>
  <c r="E23" i="18"/>
  <c r="T22" i="18"/>
  <c r="I22" i="18"/>
  <c r="H22" i="18"/>
  <c r="E22" i="18"/>
  <c r="T21" i="18"/>
  <c r="I21" i="18"/>
  <c r="H21" i="18"/>
  <c r="E21" i="18"/>
  <c r="S20" i="18"/>
  <c r="H20" i="18"/>
  <c r="E20" i="18"/>
  <c r="T19" i="18"/>
  <c r="I19" i="18"/>
  <c r="H19" i="18"/>
  <c r="E19" i="18"/>
  <c r="T18" i="18"/>
  <c r="T17" i="18"/>
  <c r="I17" i="18"/>
  <c r="R16" i="18"/>
  <c r="I16" i="18"/>
  <c r="R15" i="18"/>
  <c r="I15" i="18"/>
  <c r="T14" i="18"/>
  <c r="T13" i="18"/>
  <c r="R13" i="18"/>
  <c r="R12" i="18"/>
  <c r="H12" i="18"/>
  <c r="E12" i="18"/>
  <c r="I11" i="18"/>
  <c r="E11" i="18"/>
  <c r="M19" i="12"/>
  <c r="J19" i="12"/>
  <c r="G19" i="12"/>
  <c r="I14" i="12"/>
  <c r="E14" i="12"/>
  <c r="L12" i="12"/>
  <c r="M12" i="12" s="1"/>
  <c r="J12" i="12"/>
  <c r="G12" i="12"/>
  <c r="M30" i="11"/>
  <c r="J30" i="11"/>
  <c r="G30" i="11"/>
  <c r="I23" i="11"/>
  <c r="E23" i="11"/>
  <c r="J22" i="11"/>
  <c r="L20" i="11"/>
  <c r="M20" i="11" s="1"/>
  <c r="J20" i="11"/>
  <c r="G20" i="11"/>
  <c r="L19" i="11"/>
  <c r="M19" i="11" s="1"/>
  <c r="J19" i="11"/>
  <c r="G19" i="11"/>
  <c r="L17" i="11"/>
  <c r="E17" i="11"/>
  <c r="L15" i="11"/>
  <c r="M15" i="11" s="1"/>
  <c r="J15" i="11"/>
  <c r="G15" i="11"/>
  <c r="L14" i="11"/>
  <c r="M14" i="11" s="1"/>
  <c r="J14" i="11"/>
  <c r="G14" i="11"/>
  <c r="L13" i="11"/>
  <c r="M13" i="11" s="1"/>
  <c r="J13" i="11"/>
  <c r="G13" i="11"/>
  <c r="L12" i="11"/>
  <c r="M12" i="11" s="1"/>
  <c r="J12" i="11"/>
  <c r="G12" i="11"/>
  <c r="R28" i="18"/>
  <c r="R34" i="18"/>
  <c r="R31" i="18"/>
  <c r="S27" i="18"/>
  <c r="S31" i="18"/>
  <c r="R23" i="18"/>
  <c r="R30" i="18"/>
  <c r="T30" i="18"/>
  <c r="T27" i="18"/>
  <c r="S23" i="18"/>
  <c r="S14" i="18"/>
  <c r="R22" i="18"/>
  <c r="S22" i="18"/>
  <c r="T20" i="18"/>
  <c r="S34" i="18"/>
  <c r="R18" i="18"/>
  <c r="S15" i="18"/>
  <c r="T15" i="18"/>
  <c r="R14" i="18"/>
  <c r="R17" i="18"/>
  <c r="S17" i="18"/>
  <c r="R24" i="18"/>
  <c r="R32" i="18"/>
  <c r="R19" i="18"/>
  <c r="S24" i="18"/>
  <c r="S32" i="18"/>
  <c r="S19" i="18"/>
  <c r="R21" i="18"/>
  <c r="R29" i="18"/>
  <c r="S21" i="18"/>
  <c r="S29" i="18"/>
  <c r="R20" i="18"/>
  <c r="T19" i="21" l="1"/>
  <c r="T31" i="21"/>
  <c r="E38" i="21"/>
  <c r="S15" i="21"/>
  <c r="R22" i="21"/>
  <c r="S27" i="21"/>
  <c r="R34" i="21"/>
  <c r="H38" i="21"/>
  <c r="I38" i="21"/>
  <c r="R21" i="21"/>
  <c r="S26" i="21"/>
  <c r="M23" i="11"/>
  <c r="G14" i="12"/>
  <c r="L14" i="12"/>
  <c r="J14" i="12"/>
  <c r="J21" i="12" s="1"/>
  <c r="M14" i="12"/>
  <c r="J17" i="22"/>
  <c r="J24" i="22" s="1"/>
  <c r="M17" i="22"/>
  <c r="G17" i="22"/>
  <c r="G24" i="22" s="1"/>
  <c r="M24" i="22" s="1"/>
  <c r="F40" i="23"/>
  <c r="L23" i="11"/>
  <c r="J23" i="11"/>
  <c r="E35" i="18"/>
  <c r="S13" i="18"/>
  <c r="S28" i="18"/>
  <c r="T12" i="18"/>
  <c r="T16" i="18"/>
  <c r="S25" i="18"/>
  <c r="S16" i="18"/>
  <c r="S33" i="18"/>
  <c r="S12" i="18"/>
  <c r="R25" i="18"/>
  <c r="S18" i="18"/>
  <c r="I35" i="18"/>
  <c r="F42" i="21"/>
  <c r="T12" i="21"/>
  <c r="S14" i="21"/>
  <c r="R23" i="21"/>
  <c r="R35" i="21"/>
  <c r="R11" i="21"/>
  <c r="R18" i="21"/>
  <c r="S23" i="21"/>
  <c r="R30" i="21"/>
  <c r="S35" i="21"/>
  <c r="S18" i="21"/>
  <c r="S30" i="21"/>
  <c r="R37" i="21"/>
  <c r="R20" i="21"/>
  <c r="S25" i="21"/>
  <c r="R32" i="21"/>
  <c r="S37" i="21"/>
  <c r="R15" i="21"/>
  <c r="S20" i="21"/>
  <c r="R27" i="21"/>
  <c r="S32" i="21"/>
  <c r="R17" i="21"/>
  <c r="S22" i="21"/>
  <c r="R29" i="21"/>
  <c r="S34" i="21"/>
  <c r="S17" i="21"/>
  <c r="R24" i="21"/>
  <c r="S29" i="21"/>
  <c r="R36" i="21"/>
  <c r="R12" i="21"/>
  <c r="R19" i="21"/>
  <c r="S24" i="21"/>
  <c r="R31" i="21"/>
  <c r="S36" i="21"/>
  <c r="M17" i="11"/>
  <c r="T26" i="18"/>
  <c r="G23" i="11"/>
  <c r="F23" i="11" s="1"/>
  <c r="G17" i="11"/>
  <c r="J17" i="11"/>
  <c r="S26" i="18"/>
  <c r="K8" i="22" l="1"/>
  <c r="E8" i="22" s="1"/>
  <c r="F14" i="12"/>
  <c r="G21" i="12"/>
  <c r="M21" i="12" s="1"/>
  <c r="K8" i="12" s="1"/>
  <c r="E8" i="12" s="1"/>
  <c r="J32" i="11"/>
  <c r="M32" i="11"/>
  <c r="K8" i="11" s="1"/>
  <c r="E8" i="11" s="1"/>
  <c r="G32" i="11"/>
  <c r="S11" i="18"/>
  <c r="H11" i="18"/>
  <c r="H35" i="18"/>
  <c r="F39" i="18" s="1"/>
  <c r="T11" i="18" l="1"/>
  <c r="R11" i="18"/>
</calcChain>
</file>

<file path=xl/sharedStrings.xml><?xml version="1.0" encoding="utf-8"?>
<sst xmlns="http://schemas.openxmlformats.org/spreadsheetml/2006/main" count="841" uniqueCount="283">
  <si>
    <t>見      積      書</t>
    <phoneticPr fontId="5" type="noConversion"/>
  </si>
  <si>
    <t>업   체   명</t>
    <phoneticPr fontId="5" type="noConversion"/>
  </si>
  <si>
    <t>사 업 자 
등 록 번 호</t>
    <phoneticPr fontId="5" type="noConversion"/>
  </si>
  <si>
    <t>413-87-01619</t>
    <phoneticPr fontId="5" type="noConversion"/>
  </si>
  <si>
    <t>현   장   명</t>
    <phoneticPr fontId="5" type="noConversion"/>
  </si>
  <si>
    <t>회    사    명</t>
    <phoneticPr fontId="5" type="noConversion"/>
  </si>
  <si>
    <t>에이엔티시스템㈜</t>
    <phoneticPr fontId="5" type="noConversion"/>
  </si>
  <si>
    <t>대 표 자</t>
    <phoneticPr fontId="5" type="noConversion"/>
  </si>
  <si>
    <t xml:space="preserve">정 행 조 </t>
    <phoneticPr fontId="5" type="noConversion"/>
  </si>
  <si>
    <t>공   사   명</t>
    <phoneticPr fontId="5" type="noConversion"/>
  </si>
  <si>
    <t>시스템 동바리 / 시스템비계 설치공사</t>
    <phoneticPr fontId="4" type="noConversion"/>
  </si>
  <si>
    <t>주           소</t>
    <phoneticPr fontId="5" type="noConversion"/>
  </si>
  <si>
    <t>서울시 강서구 공항대로 242, 열린M타워 8층 813호</t>
    <phoneticPr fontId="5" type="noConversion"/>
  </si>
  <si>
    <t>연    락    처</t>
    <phoneticPr fontId="5" type="noConversion"/>
  </si>
  <si>
    <t>TEL : 02)2038-4115/  FAX : 02)6925-2114</t>
    <phoneticPr fontId="5" type="noConversion"/>
  </si>
  <si>
    <r>
      <t xml:space="preserve">상기 공사에 대하여 아래와 같이 </t>
    </r>
    <r>
      <rPr>
        <b/>
        <sz val="11"/>
        <rFont val="맑은 고딕"/>
        <family val="3"/>
        <charset val="129"/>
      </rPr>
      <t>견 적</t>
    </r>
    <r>
      <rPr>
        <sz val="11"/>
        <rFont val="맑은 고딕"/>
        <family val="3"/>
        <charset val="129"/>
      </rPr>
      <t xml:space="preserve"> 합니다.</t>
    </r>
    <phoneticPr fontId="5" type="noConversion"/>
  </si>
  <si>
    <t>견 적 일 자 :</t>
    <phoneticPr fontId="5" type="noConversion"/>
  </si>
  <si>
    <t>견   적    금   액</t>
    <phoneticPr fontId="5" type="noConversion"/>
  </si>
  <si>
    <t>일금</t>
    <phoneticPr fontId="4" type="noConversion"/>
  </si>
  <si>
    <t>원정</t>
  </si>
  <si>
    <t>( \</t>
  </si>
  <si>
    <t xml:space="preserve">)   </t>
    <phoneticPr fontId="54" type="noConversion"/>
  </si>
  <si>
    <t>VAT별도</t>
    <phoneticPr fontId="54" type="noConversion"/>
  </si>
  <si>
    <t>구                   분</t>
    <phoneticPr fontId="5" type="noConversion"/>
  </si>
  <si>
    <t>단위</t>
    <phoneticPr fontId="5" type="noConversion"/>
  </si>
  <si>
    <t>수 량</t>
    <phoneticPr fontId="5" type="noConversion"/>
  </si>
  <si>
    <t>재  료  비</t>
    <phoneticPr fontId="5" type="noConversion"/>
  </si>
  <si>
    <t>노  무  비</t>
    <phoneticPr fontId="5" type="noConversion"/>
  </si>
  <si>
    <t>합           계</t>
    <phoneticPr fontId="5" type="noConversion"/>
  </si>
  <si>
    <t>비    고</t>
    <phoneticPr fontId="5" type="noConversion"/>
  </si>
  <si>
    <t>단가</t>
    <phoneticPr fontId="5" type="noConversion"/>
  </si>
  <si>
    <t>금액</t>
    <phoneticPr fontId="5" type="noConversion"/>
  </si>
  <si>
    <t>단가</t>
    <phoneticPr fontId="4" type="noConversion"/>
  </si>
  <si>
    <t>합계금액</t>
    <phoneticPr fontId="4" type="noConversion"/>
  </si>
  <si>
    <t>1. System Support (동바리)</t>
    <phoneticPr fontId="4" type="noConversion"/>
  </si>
  <si>
    <t>사용기간 : 2개월내</t>
    <phoneticPr fontId="4" type="noConversion"/>
  </si>
  <si>
    <t>가.  지상1층(지상2층 구조평면도)</t>
    <phoneticPr fontId="4" type="noConversion"/>
  </si>
  <si>
    <t>M3</t>
    <phoneticPr fontId="4" type="noConversion"/>
  </si>
  <si>
    <t>2개월내</t>
    <phoneticPr fontId="4" type="noConversion"/>
  </si>
  <si>
    <t>나.  지상2층(지상3층 구조평면도)</t>
    <phoneticPr fontId="4" type="noConversion"/>
  </si>
  <si>
    <t>다.  옥탑층(지붕구조평면도)_계단구간</t>
    <phoneticPr fontId="4" type="noConversion"/>
  </si>
  <si>
    <t>2개월내</t>
    <phoneticPr fontId="5" type="noConversion"/>
  </si>
  <si>
    <t>* 사용기간 2개월후 임대료</t>
    <phoneticPr fontId="4" type="noConversion"/>
  </si>
  <si>
    <t>소                 계</t>
    <phoneticPr fontId="5" type="noConversion"/>
  </si>
  <si>
    <t>2. System Scaffolding (비계)-1열설치</t>
    <phoneticPr fontId="4" type="noConversion"/>
  </si>
  <si>
    <t>가. 외부비계(W=500)</t>
    <phoneticPr fontId="4" type="noConversion"/>
  </si>
  <si>
    <t>M2</t>
    <phoneticPr fontId="4" type="noConversion"/>
  </si>
  <si>
    <t>M2/1일</t>
    <phoneticPr fontId="4" type="noConversion"/>
  </si>
  <si>
    <t>일단위 단가적용</t>
    <phoneticPr fontId="4" type="noConversion"/>
  </si>
  <si>
    <t>3. 기타사항-별도</t>
    <phoneticPr fontId="5" type="noConversion"/>
  </si>
  <si>
    <t>기타금액은 견적금액에 가감됨</t>
    <phoneticPr fontId="4" type="noConversion"/>
  </si>
  <si>
    <t>가. 구조기술사 비용</t>
    <phoneticPr fontId="54" type="noConversion"/>
  </si>
  <si>
    <t>식</t>
    <phoneticPr fontId="54" type="noConversion"/>
  </si>
  <si>
    <t>나. 직영처리</t>
    <phoneticPr fontId="54" type="noConversion"/>
  </si>
  <si>
    <t>인</t>
    <phoneticPr fontId="54" type="noConversion"/>
  </si>
  <si>
    <t xml:space="preserve">다. 1단방호선반190m (1.8M*3M) </t>
    <phoneticPr fontId="54" type="noConversion"/>
  </si>
  <si>
    <t>M2</t>
    <phoneticPr fontId="54" type="noConversion"/>
  </si>
  <si>
    <t>3개월내</t>
    <phoneticPr fontId="54" type="noConversion"/>
  </si>
  <si>
    <t>라. 2단-3단Flynet망(2Cm k/S망)</t>
    <phoneticPr fontId="54" type="noConversion"/>
  </si>
  <si>
    <t>편도/현장반납</t>
    <phoneticPr fontId="5" type="noConversion"/>
  </si>
  <si>
    <t>`</t>
    <phoneticPr fontId="5" type="noConversion"/>
  </si>
  <si>
    <t>단 수 정 리</t>
    <phoneticPr fontId="4" type="noConversion"/>
  </si>
  <si>
    <t>총 공 사 금 액</t>
    <phoneticPr fontId="4" type="noConversion"/>
  </si>
  <si>
    <t>시스템 비계</t>
    <phoneticPr fontId="4" type="noConversion"/>
  </si>
  <si>
    <t>시스템 동바리</t>
    <phoneticPr fontId="4" type="noConversion"/>
  </si>
  <si>
    <t>* 견적조건 :</t>
    <phoneticPr fontId="4" type="noConversion"/>
  </si>
  <si>
    <t>부가세 ( v.a.t ) 별도.</t>
    <phoneticPr fontId="4" type="noConversion"/>
  </si>
  <si>
    <t>운반비 편도 ( 단, 11 ton 미만 출고 운반비 발생 시 청구 )</t>
    <phoneticPr fontId="4" type="noConversion"/>
  </si>
  <si>
    <t>운반비 편도. ( 단, 11 ton 미만 출고 운반비 발생 시 청구 )</t>
    <phoneticPr fontId="4" type="noConversion"/>
  </si>
  <si>
    <r>
      <t>결재- 자재비</t>
    </r>
    <r>
      <rPr>
        <sz val="10"/>
        <color indexed="8"/>
        <rFont val="맑은 고딕"/>
        <family val="3"/>
        <charset val="129"/>
      </rPr>
      <t xml:space="preserve"> : 설치후 100%/ 노무비: 설치후60%,해체 후 40%</t>
    </r>
    <phoneticPr fontId="4" type="noConversion"/>
  </si>
  <si>
    <t>결재- 자재비 : 설치후 100%/ 노무비: 설치후60%,해체 후 40%</t>
    <phoneticPr fontId="4" type="noConversion"/>
  </si>
  <si>
    <t>샵 도면 이외에 추가사항 별도. (하부보강, 후리도메, 추가가새 등 )</t>
    <phoneticPr fontId="4" type="noConversion"/>
  </si>
  <si>
    <t>샵 도면 이외에 추가사항 별도. ( 워킹타워, 하부보강, 후리도메, 추가가새 등 )</t>
    <phoneticPr fontId="4" type="noConversion"/>
  </si>
  <si>
    <t>설치, 해체, 정리, 반출 포함.</t>
    <phoneticPr fontId="4" type="noConversion"/>
  </si>
  <si>
    <t>설치, 해체, 정리, 반출 포함.(해체시상부 SLAB 형틀 자재 반출 후 시스템서포트 해체 및 반출)</t>
    <phoneticPr fontId="4" type="noConversion"/>
  </si>
  <si>
    <t>임대자재 멸실 또는 파손 시 별도 청구.</t>
    <phoneticPr fontId="4" type="noConversion"/>
  </si>
  <si>
    <t>자재 인양구 확보. ( 자재 인양구 미 확보시 - 인건비 협의 )</t>
    <phoneticPr fontId="4" type="noConversion"/>
  </si>
  <si>
    <t>낙하물 방지망 / 작업발판 별도.</t>
    <phoneticPr fontId="4" type="noConversion"/>
  </si>
  <si>
    <t>장비 현장지원 조건. ( 지게차/ 타워 또는 크레인 / 사다리차 / 하이드로우 )</t>
    <phoneticPr fontId="4" type="noConversion"/>
  </si>
  <si>
    <t>장비 현장지원 조건. ( 지게차/ 타워 또는 크레인 / 사다리차 )</t>
    <phoneticPr fontId="4" type="noConversion"/>
  </si>
  <si>
    <t>임대품목은 시스템 비계용자재 ( 보강용단관파이프 및 클램프 현장지원 )</t>
    <phoneticPr fontId="54" type="noConversion"/>
  </si>
  <si>
    <t xml:space="preserve"> 자재비 / 노무비 계산서 분리발행.</t>
    <phoneticPr fontId="4" type="noConversion"/>
  </si>
  <si>
    <t>실시공 물량 정산 (변동시 증가 또는감소)</t>
    <phoneticPr fontId="4" type="noConversion"/>
  </si>
  <si>
    <t>담당자 : 이대현 차장 010-9584-8878</t>
    <phoneticPr fontId="4" type="noConversion"/>
  </si>
  <si>
    <t>에이엔티시스템㈜/유담시스템</t>
    <phoneticPr fontId="4" type="noConversion"/>
  </si>
  <si>
    <r>
      <t xml:space="preserve">)       </t>
    </r>
    <r>
      <rPr>
        <b/>
        <sz val="11"/>
        <rFont val="맑은 고딕"/>
        <family val="3"/>
        <charset val="129"/>
      </rPr>
      <t>VAT 별도</t>
    </r>
    <phoneticPr fontId="5" type="noConversion"/>
  </si>
  <si>
    <t>1. System Scaffolding (비계)-2열설치</t>
    <phoneticPr fontId="4" type="noConversion"/>
  </si>
  <si>
    <t>사용기간 : 3개월내</t>
    <phoneticPr fontId="4" type="noConversion"/>
  </si>
  <si>
    <t>가. 외부비계(W=914)</t>
    <phoneticPr fontId="4" type="noConversion"/>
  </si>
  <si>
    <t>3개월내</t>
    <phoneticPr fontId="4" type="noConversion"/>
  </si>
  <si>
    <t>* 사용기간 3개월후 임대료</t>
    <phoneticPr fontId="4" type="noConversion"/>
  </si>
  <si>
    <t>2. 기타사항-별도</t>
    <phoneticPr fontId="5" type="noConversion"/>
  </si>
  <si>
    <t>견 적 일 자</t>
    <phoneticPr fontId="5" type="noConversion"/>
  </si>
  <si>
    <t>담    당    자</t>
    <phoneticPr fontId="5" type="noConversion"/>
  </si>
  <si>
    <t>품 목  및  규 격</t>
    <phoneticPr fontId="56" type="noConversion"/>
  </si>
  <si>
    <t xml:space="preserve">수 량 </t>
    <phoneticPr fontId="56" type="noConversion"/>
  </si>
  <si>
    <t>제품단중</t>
    <phoneticPr fontId="56" type="noConversion"/>
  </si>
  <si>
    <t>제품중량</t>
    <phoneticPr fontId="4" type="noConversion"/>
  </si>
  <si>
    <t>멸  실  가</t>
    <phoneticPr fontId="4" type="noConversion"/>
  </si>
  <si>
    <t>쟈키베이스</t>
    <phoneticPr fontId="4" type="noConversion"/>
  </si>
  <si>
    <t>유  헤  드</t>
    <phoneticPr fontId="4" type="noConversion"/>
  </si>
  <si>
    <t>주   주 3800</t>
    <phoneticPr fontId="4" type="noConversion"/>
  </si>
  <si>
    <t>주   주 2850</t>
    <phoneticPr fontId="4" type="noConversion"/>
  </si>
  <si>
    <t>주   주 1900</t>
    <phoneticPr fontId="4" type="noConversion"/>
  </si>
  <si>
    <t>주   주 950</t>
    <phoneticPr fontId="4" type="noConversion"/>
  </si>
  <si>
    <t>주   주 475</t>
    <phoneticPr fontId="4" type="noConversion"/>
  </si>
  <si>
    <t>주   주 320 (무)</t>
    <phoneticPr fontId="4" type="noConversion"/>
  </si>
  <si>
    <t>주   주 237.5</t>
    <phoneticPr fontId="4" type="noConversion"/>
  </si>
  <si>
    <t>횡   대 1829</t>
    <phoneticPr fontId="4" type="noConversion"/>
  </si>
  <si>
    <t>횡   대 1524</t>
    <phoneticPr fontId="4" type="noConversion"/>
  </si>
  <si>
    <t>횡   대 1219</t>
    <phoneticPr fontId="4" type="noConversion"/>
  </si>
  <si>
    <t>횡   대 914</t>
    <phoneticPr fontId="4" type="noConversion"/>
  </si>
  <si>
    <t>횡   대 610</t>
    <phoneticPr fontId="4" type="noConversion"/>
  </si>
  <si>
    <t>횡   대 457</t>
    <phoneticPr fontId="4" type="noConversion"/>
  </si>
  <si>
    <t>횡   대 305</t>
    <phoneticPr fontId="4" type="noConversion"/>
  </si>
  <si>
    <t>가  새 1829*1900</t>
    <phoneticPr fontId="4" type="noConversion"/>
  </si>
  <si>
    <t>계단발판 450*2638</t>
    <phoneticPr fontId="4" type="noConversion"/>
  </si>
  <si>
    <t>계단발판 400*2638</t>
    <phoneticPr fontId="4" type="noConversion"/>
  </si>
  <si>
    <t>브라켓 610*475</t>
    <phoneticPr fontId="4" type="noConversion"/>
  </si>
  <si>
    <t>브라켓 457*475</t>
    <phoneticPr fontId="4" type="noConversion"/>
  </si>
  <si>
    <t>발판 500*1829</t>
    <phoneticPr fontId="4" type="noConversion"/>
  </si>
  <si>
    <t>발판 500*1524</t>
    <phoneticPr fontId="4" type="noConversion"/>
  </si>
  <si>
    <t>발판 500*1219</t>
    <phoneticPr fontId="4" type="noConversion"/>
  </si>
  <si>
    <t>발판 500*914</t>
    <phoneticPr fontId="4" type="noConversion"/>
  </si>
  <si>
    <t>발판 500*610</t>
    <phoneticPr fontId="4" type="noConversion"/>
  </si>
  <si>
    <t>발판 400*1829</t>
    <phoneticPr fontId="4" type="noConversion"/>
  </si>
  <si>
    <t>발판 400*1524</t>
    <phoneticPr fontId="4" type="noConversion"/>
  </si>
  <si>
    <t>발판 400*1219</t>
    <phoneticPr fontId="4" type="noConversion"/>
  </si>
  <si>
    <t>발판 400*914</t>
    <phoneticPr fontId="4" type="noConversion"/>
  </si>
  <si>
    <t>발판 400*610</t>
    <phoneticPr fontId="4" type="noConversion"/>
  </si>
  <si>
    <t>발판 250*1829</t>
    <phoneticPr fontId="4" type="noConversion"/>
  </si>
  <si>
    <t>클램프(고정)</t>
    <phoneticPr fontId="4" type="noConversion"/>
  </si>
  <si>
    <t>클램프(자동)</t>
    <phoneticPr fontId="4" type="noConversion"/>
  </si>
  <si>
    <t>해치발판</t>
    <phoneticPr fontId="4" type="noConversion"/>
  </si>
  <si>
    <t>사다리</t>
    <phoneticPr fontId="4" type="noConversion"/>
  </si>
  <si>
    <t>비계버팀대(소)</t>
    <phoneticPr fontId="4" type="noConversion"/>
  </si>
  <si>
    <t>비계버팀대(중)</t>
    <phoneticPr fontId="4" type="noConversion"/>
  </si>
  <si>
    <t>비계버팀대(대)</t>
    <phoneticPr fontId="4" type="noConversion"/>
  </si>
  <si>
    <t>벽체브라켓</t>
    <phoneticPr fontId="4" type="noConversion"/>
  </si>
  <si>
    <t>트러스 3658</t>
    <phoneticPr fontId="4" type="noConversion"/>
  </si>
  <si>
    <t>트러스 5487</t>
    <phoneticPr fontId="4" type="noConversion"/>
  </si>
  <si>
    <t xml:space="preserve">          특 이 사 항</t>
    <phoneticPr fontId="56" type="noConversion"/>
  </si>
  <si>
    <t xml:space="preserve">          1. V.A.T. 별도</t>
    <phoneticPr fontId="56" type="noConversion"/>
  </si>
  <si>
    <t xml:space="preserve">          2. 결제조건 : 계산서 발행후 익월말 현금결제</t>
    <phoneticPr fontId="4" type="noConversion"/>
  </si>
  <si>
    <t xml:space="preserve">          3. 멸실비 : 임대 완료후 임대자재에 대한 멸실 또는 파손자재에 대한 멸실비 및 변상료 청구. (반납시 - 반납송장 미첨부시 멸실처리.)</t>
    <phoneticPr fontId="4" type="noConversion"/>
  </si>
  <si>
    <t xml:space="preserve">          4. 수직망 별도./낙하물 방지망 별도 /장비(지게차,타워크레인,하이드로등) 현장지원</t>
    <phoneticPr fontId="5" type="noConversion"/>
  </si>
  <si>
    <t xml:space="preserve">          5. 임대자재 현장투입시(설치시) 자재수량 송장확인 및 검수 필수. / 임대자재 현장반출시(해체시) 자재수량 송장확인 및 검수 필수.</t>
    <phoneticPr fontId="4" type="noConversion"/>
  </si>
  <si>
    <t>합    계</t>
    <phoneticPr fontId="56" type="noConversion"/>
  </si>
  <si>
    <t>시스템 임대 일단가 견적서</t>
    <phoneticPr fontId="57" type="noConversion"/>
  </si>
  <si>
    <t>이 대 현 과장 (TEL : 010-9584-8878)</t>
    <phoneticPr fontId="5" type="noConversion"/>
  </si>
  <si>
    <t>제품중량</t>
    <phoneticPr fontId="57" type="noConversion"/>
  </si>
  <si>
    <t>일 임 대 단 가</t>
    <phoneticPr fontId="56" type="noConversion"/>
  </si>
  <si>
    <t>임  대  료</t>
    <phoneticPr fontId="56" type="noConversion"/>
  </si>
  <si>
    <t>비고</t>
    <phoneticPr fontId="4" type="noConversion"/>
  </si>
  <si>
    <t>기본료 단가</t>
    <phoneticPr fontId="56" type="noConversion"/>
  </si>
  <si>
    <t>일임대료</t>
    <phoneticPr fontId="56" type="noConversion"/>
  </si>
  <si>
    <t>기본료</t>
    <phoneticPr fontId="56" type="noConversion"/>
  </si>
  <si>
    <t>일 임 대 료</t>
    <phoneticPr fontId="56" type="noConversion"/>
  </si>
  <si>
    <t>품목</t>
    <phoneticPr fontId="56" type="noConversion"/>
  </si>
  <si>
    <t>비계 구매가</t>
    <phoneticPr fontId="56" type="noConversion"/>
  </si>
  <si>
    <t>기본료</t>
    <phoneticPr fontId="4" type="noConversion"/>
  </si>
  <si>
    <t>일임대료</t>
    <phoneticPr fontId="4" type="noConversion"/>
  </si>
  <si>
    <t>365일</t>
    <phoneticPr fontId="4" type="noConversion"/>
  </si>
  <si>
    <t>2년</t>
    <phoneticPr fontId="57" type="noConversion"/>
  </si>
  <si>
    <t>3년</t>
    <phoneticPr fontId="57" type="noConversion"/>
  </si>
  <si>
    <t xml:space="preserve">          3. 임대료 = 기본료 + (일임대료 X 사용일)</t>
    <phoneticPr fontId="57" type="noConversion"/>
  </si>
  <si>
    <t>원</t>
    <phoneticPr fontId="57" type="noConversion"/>
  </si>
  <si>
    <t>3-1멸실비</t>
    <phoneticPr fontId="5" type="noConversion"/>
  </si>
  <si>
    <t>개수X멸실비</t>
    <phoneticPr fontId="5" type="noConversion"/>
  </si>
  <si>
    <t>원</t>
    <phoneticPr fontId="4" type="noConversion"/>
  </si>
  <si>
    <t xml:space="preserve">          2. 운반비 : 운반비 편도. ( 5톤 이하 출고시 현장결제 / 반납시 현장배차 및 현장결제 )</t>
    <phoneticPr fontId="4" type="noConversion"/>
  </si>
  <si>
    <t>쟈키베이스 42*600</t>
    <phoneticPr fontId="59" type="noConversion"/>
  </si>
  <si>
    <t>유헤드 42*600</t>
    <phoneticPr fontId="59" type="noConversion"/>
  </si>
  <si>
    <t>주주(유) 2700</t>
    <phoneticPr fontId="59" type="noConversion"/>
  </si>
  <si>
    <t>주주(유) 1800</t>
    <phoneticPr fontId="59" type="noConversion"/>
  </si>
  <si>
    <t>주주(유) 900</t>
    <phoneticPr fontId="59" type="noConversion"/>
  </si>
  <si>
    <t>주주(유) 600</t>
    <phoneticPr fontId="59" type="noConversion"/>
  </si>
  <si>
    <t>주주(유) 450</t>
    <phoneticPr fontId="59" type="noConversion"/>
  </si>
  <si>
    <t>주주(유) 250</t>
    <phoneticPr fontId="59" type="noConversion"/>
  </si>
  <si>
    <t>주주(무) 1800</t>
    <phoneticPr fontId="59" type="noConversion"/>
  </si>
  <si>
    <t>주주(무) 900</t>
    <phoneticPr fontId="59" type="noConversion"/>
  </si>
  <si>
    <t>주주(무) 600</t>
    <phoneticPr fontId="59" type="noConversion"/>
  </si>
  <si>
    <t>주주(무) 450</t>
    <phoneticPr fontId="59" type="noConversion"/>
  </si>
  <si>
    <t>횡재 1800</t>
    <phoneticPr fontId="59" type="noConversion"/>
  </si>
  <si>
    <t>횡재 1500</t>
    <phoneticPr fontId="59" type="noConversion"/>
  </si>
  <si>
    <t>횡재 1200</t>
    <phoneticPr fontId="59" type="noConversion"/>
  </si>
  <si>
    <t>횡재 900</t>
    <phoneticPr fontId="59" type="noConversion"/>
  </si>
  <si>
    <t>횡재 600</t>
    <phoneticPr fontId="59" type="noConversion"/>
  </si>
  <si>
    <t>횡재 450</t>
    <phoneticPr fontId="59" type="noConversion"/>
  </si>
  <si>
    <t>가새 42*2200</t>
    <phoneticPr fontId="59" type="noConversion"/>
  </si>
  <si>
    <t>가새 42*1800</t>
    <phoneticPr fontId="59" type="noConversion"/>
  </si>
  <si>
    <t>트러스1500</t>
    <phoneticPr fontId="59" type="noConversion"/>
  </si>
  <si>
    <t>각관 125*75*3.0m</t>
    <phoneticPr fontId="59" type="noConversion"/>
  </si>
  <si>
    <t>각관 125*75*2.5m</t>
    <phoneticPr fontId="59" type="noConversion"/>
  </si>
  <si>
    <t>각관 125*75*2.0m</t>
    <phoneticPr fontId="59" type="noConversion"/>
  </si>
  <si>
    <t>각관 125*75*1.5m</t>
    <phoneticPr fontId="59" type="noConversion"/>
  </si>
  <si>
    <t>각관 125*75*1.2m</t>
    <phoneticPr fontId="59" type="noConversion"/>
  </si>
  <si>
    <t>각관 125*75*1.0m</t>
    <phoneticPr fontId="59" type="noConversion"/>
  </si>
  <si>
    <t xml:space="preserve">          4. 운반비 : 운반비 편도. ( 11톤 이하 출고시 현장결제 / 반납시 현장배차 및 현장결제 )</t>
    <phoneticPr fontId="4" type="noConversion"/>
  </si>
  <si>
    <t xml:space="preserve">          5. 멸실비 : 임대 완료후 임대자재에 대한 멸실 또는 파손자재에 대한 멸실비 및 변상료 청구. (반납시 - 반납송장 미첨부시 멸실처리.)</t>
    <phoneticPr fontId="4" type="noConversion"/>
  </si>
  <si>
    <t xml:space="preserve">          6. 임대자재 현장투입시(설치시) 자재수량 송장확인 및 검수 필수. / 임대자재 현장반출시(해체시) 자재수량 송장확인 및 검수 필수.</t>
    <phoneticPr fontId="57" type="noConversion"/>
  </si>
  <si>
    <t>현장방문 체크리스트</t>
    <phoneticPr fontId="53" type="noConversion"/>
  </si>
  <si>
    <t>현장담당자</t>
    <phoneticPr fontId="53" type="noConversion"/>
  </si>
  <si>
    <t xml:space="preserve">        (인)</t>
    <phoneticPr fontId="53" type="noConversion"/>
  </si>
  <si>
    <t xml:space="preserve">       (인)</t>
    <phoneticPr fontId="53" type="noConversion"/>
  </si>
  <si>
    <t>원청사</t>
    <phoneticPr fontId="53" type="noConversion"/>
  </si>
  <si>
    <t>단종</t>
    <phoneticPr fontId="53" type="noConversion"/>
  </si>
  <si>
    <t>공종명</t>
    <phoneticPr fontId="53" type="noConversion"/>
  </si>
  <si>
    <t>구분</t>
    <phoneticPr fontId="53" type="noConversion"/>
  </si>
  <si>
    <t>시스템동바리</t>
    <phoneticPr fontId="53" type="noConversion"/>
  </si>
  <si>
    <t>시스템비계</t>
    <phoneticPr fontId="53" type="noConversion"/>
  </si>
  <si>
    <t>내용</t>
    <phoneticPr fontId="53" type="noConversion"/>
  </si>
  <si>
    <t>1.사용용도(건축/토목)</t>
    <phoneticPr fontId="53" type="noConversion"/>
  </si>
  <si>
    <r>
      <t>1.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>사용용도(건축/토목)</t>
    </r>
    <phoneticPr fontId="53" type="noConversion"/>
  </si>
  <si>
    <r>
      <t xml:space="preserve">2. </t>
    </r>
    <r>
      <rPr>
        <sz val="11"/>
        <color indexed="8"/>
        <rFont val="맑은 고딕"/>
        <family val="3"/>
        <charset val="129"/>
      </rPr>
      <t>TG타설계획</t>
    </r>
    <r>
      <rPr>
        <sz val="11"/>
        <color theme="1"/>
        <rFont val="맑은 고딕"/>
        <family val="3"/>
        <charset val="129"/>
        <scheme val="minor"/>
      </rPr>
      <t>(1차/2차)</t>
    </r>
    <phoneticPr fontId="53" type="noConversion"/>
  </si>
  <si>
    <r>
      <t>2.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>발판장수</t>
    </r>
    <phoneticPr fontId="53" type="noConversion"/>
  </si>
  <si>
    <r>
      <t xml:space="preserve">3. </t>
    </r>
    <r>
      <rPr>
        <sz val="11"/>
        <color indexed="8"/>
        <rFont val="맑은 고딕"/>
        <family val="3"/>
        <charset val="129"/>
      </rPr>
      <t>DECK해당(2P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indexed="8"/>
        <rFont val="맑은 고딕"/>
        <family val="3"/>
        <charset val="129"/>
      </rPr>
      <t>4P)</t>
    </r>
    <phoneticPr fontId="53" type="noConversion"/>
  </si>
  <si>
    <r>
      <t>3.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>임대기간</t>
    </r>
    <phoneticPr fontId="53" type="noConversion"/>
  </si>
  <si>
    <r>
      <t>4. 슬라브상단</t>
    </r>
    <r>
      <rPr>
        <sz val="11"/>
        <color indexed="8"/>
        <rFont val="맑은 고딕"/>
        <family val="3"/>
        <charset val="129"/>
      </rPr>
      <t>4.2M이상 층고</t>
    </r>
    <phoneticPr fontId="53" type="noConversion"/>
  </si>
  <si>
    <r>
      <t>4.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 xml:space="preserve">장비사용 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indexed="8"/>
        <rFont val="맑은 고딕"/>
        <family val="3"/>
        <charset val="129"/>
      </rPr>
      <t>유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indexed="8"/>
        <rFont val="맑은 고딕"/>
        <family val="3"/>
        <charset val="129"/>
      </rPr>
      <t>무</t>
    </r>
    <r>
      <rPr>
        <sz val="11"/>
        <color theme="1"/>
        <rFont val="맑은 고딕"/>
        <family val="3"/>
        <charset val="129"/>
        <scheme val="minor"/>
      </rPr>
      <t>)</t>
    </r>
    <phoneticPr fontId="53" type="noConversion"/>
  </si>
  <si>
    <t>5. 보 방향(단방향/ 장방향)</t>
    <phoneticPr fontId="53" type="noConversion"/>
  </si>
  <si>
    <r>
      <t xml:space="preserve">5. </t>
    </r>
    <r>
      <rPr>
        <sz val="11"/>
        <color indexed="8"/>
        <rFont val="맑은 고딕"/>
        <family val="3"/>
        <charset val="129"/>
      </rPr>
      <t xml:space="preserve">수직보호망 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indexed="8"/>
        <rFont val="맑은 고딕"/>
        <family val="3"/>
        <charset val="129"/>
      </rPr>
      <t>유</t>
    </r>
    <r>
      <rPr>
        <sz val="11"/>
        <color theme="1"/>
        <rFont val="맑은 고딕"/>
        <family val="3"/>
        <charset val="129"/>
        <scheme val="minor"/>
      </rPr>
      <t>/</t>
    </r>
    <r>
      <rPr>
        <sz val="11"/>
        <color indexed="8"/>
        <rFont val="맑은 고딕"/>
        <family val="3"/>
        <charset val="129"/>
      </rPr>
      <t>무</t>
    </r>
    <r>
      <rPr>
        <sz val="11"/>
        <color theme="1"/>
        <rFont val="맑은 고딕"/>
        <family val="3"/>
        <charset val="129"/>
        <scheme val="minor"/>
      </rPr>
      <t>)</t>
    </r>
    <phoneticPr fontId="53" type="noConversion"/>
  </si>
  <si>
    <t>6. 오픈구 확인 필수</t>
    <phoneticPr fontId="53" type="noConversion"/>
  </si>
  <si>
    <r>
      <t>6.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>바닥정리</t>
    </r>
    <phoneticPr fontId="53" type="noConversion"/>
  </si>
  <si>
    <t>7. 단열재 선시공 여부</t>
    <phoneticPr fontId="53" type="noConversion"/>
  </si>
  <si>
    <r>
      <t xml:space="preserve">7. </t>
    </r>
    <r>
      <rPr>
        <sz val="11"/>
        <color indexed="8"/>
        <rFont val="맑은 고딕"/>
        <family val="3"/>
        <charset val="129"/>
      </rPr>
      <t xml:space="preserve">출입구 </t>
    </r>
    <r>
      <rPr>
        <sz val="11"/>
        <color theme="1"/>
        <rFont val="맑은 고딕"/>
        <family val="3"/>
        <charset val="129"/>
        <scheme val="minor"/>
      </rPr>
      <t>(유/무)</t>
    </r>
    <phoneticPr fontId="53" type="noConversion"/>
  </si>
  <si>
    <t>8. 석고지지대사용(유/무)</t>
    <phoneticPr fontId="53" type="noConversion"/>
  </si>
  <si>
    <r>
      <t xml:space="preserve">8. </t>
    </r>
    <r>
      <rPr>
        <sz val="11"/>
        <color indexed="8"/>
        <rFont val="맑은 고딕"/>
        <family val="3"/>
        <charset val="129"/>
      </rPr>
      <t>워킹타워/사다리</t>
    </r>
    <r>
      <rPr>
        <sz val="11"/>
        <color theme="1"/>
        <rFont val="맑은 고딕"/>
        <family val="3"/>
        <charset val="129"/>
        <scheme val="minor"/>
      </rPr>
      <t xml:space="preserve"> (유/무)</t>
    </r>
    <phoneticPr fontId="53" type="noConversion"/>
  </si>
  <si>
    <t>9. 토목현장 헌치(유/무)</t>
    <phoneticPr fontId="53" type="noConversion"/>
  </si>
  <si>
    <r>
      <t>9.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>벽체 이격거리</t>
    </r>
    <phoneticPr fontId="53" type="noConversion"/>
  </si>
  <si>
    <r>
      <t xml:space="preserve">10. </t>
    </r>
    <r>
      <rPr>
        <sz val="11"/>
        <color indexed="8"/>
        <rFont val="맑은 고딕"/>
        <family val="3"/>
        <charset val="129"/>
      </rPr>
      <t>기타 특이사항</t>
    </r>
    <phoneticPr fontId="53" type="noConversion"/>
  </si>
  <si>
    <r>
      <t>10.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indexed="8"/>
        <rFont val="맑은 고딕"/>
        <family val="3"/>
        <charset val="129"/>
      </rPr>
      <t>되메우기 구간 여부</t>
    </r>
  </si>
  <si>
    <r>
      <t xml:space="preserve">11. </t>
    </r>
    <r>
      <rPr>
        <sz val="11"/>
        <color indexed="8"/>
        <rFont val="맑은 고딕"/>
        <family val="3"/>
        <charset val="129"/>
      </rPr>
      <t xml:space="preserve">가새 사용여부 </t>
    </r>
    <phoneticPr fontId="53" type="noConversion"/>
  </si>
  <si>
    <r>
      <t>12</t>
    </r>
    <r>
      <rPr>
        <sz val="11"/>
        <color indexed="8"/>
        <rFont val="맑은 고딕"/>
        <family val="3"/>
        <charset val="129"/>
      </rPr>
      <t>. 옥탑비계 설치 유무 및 공정</t>
    </r>
    <phoneticPr fontId="53" type="noConversion"/>
  </si>
  <si>
    <t>13. 기타 특이사항</t>
    <phoneticPr fontId="53" type="noConversion"/>
  </si>
  <si>
    <t>1.현장 요구 사항</t>
    <phoneticPr fontId="53" type="noConversion"/>
  </si>
  <si>
    <t>시스템 임대 일단가 견적서</t>
    <phoneticPr fontId="4" type="noConversion"/>
  </si>
  <si>
    <t>2년</t>
    <phoneticPr fontId="4" type="noConversion"/>
  </si>
  <si>
    <t>3년</t>
    <phoneticPr fontId="4" type="noConversion"/>
  </si>
  <si>
    <t>H빔</t>
    <phoneticPr fontId="5" type="noConversion"/>
  </si>
  <si>
    <t>트러스 3657</t>
  </si>
  <si>
    <t xml:space="preserve">          3. 임대료 = 기본료 + (일임대료 X 사용일)</t>
    <phoneticPr fontId="4" type="noConversion"/>
  </si>
  <si>
    <t>P-17/1725</t>
    <phoneticPr fontId="58" type="noConversion"/>
  </si>
  <si>
    <t>P-12/1291</t>
    <phoneticPr fontId="58" type="noConversion"/>
  </si>
  <si>
    <t>P-08/863</t>
    <phoneticPr fontId="58" type="noConversion"/>
  </si>
  <si>
    <t>P-04/432</t>
    <phoneticPr fontId="58" type="noConversion"/>
  </si>
  <si>
    <t>P-02-216</t>
    <phoneticPr fontId="58" type="noConversion"/>
  </si>
  <si>
    <t>소켓 120L</t>
    <phoneticPr fontId="58" type="noConversion"/>
  </si>
  <si>
    <t>H-15/1463</t>
    <phoneticPr fontId="58" type="noConversion"/>
  </si>
  <si>
    <t>H-12/1158</t>
    <phoneticPr fontId="58" type="noConversion"/>
  </si>
  <si>
    <t>H-09/853</t>
    <phoneticPr fontId="58" type="noConversion"/>
  </si>
  <si>
    <t>H-06/549</t>
    <phoneticPr fontId="58" type="noConversion"/>
  </si>
  <si>
    <t>H-03/244</t>
    <phoneticPr fontId="58" type="noConversion"/>
  </si>
  <si>
    <t>대각재-B1725</t>
    <phoneticPr fontId="58" type="noConversion"/>
  </si>
  <si>
    <t>대각재-B1712</t>
    <phoneticPr fontId="58" type="noConversion"/>
  </si>
  <si>
    <t>대각재-B1709</t>
    <phoneticPr fontId="58" type="noConversion"/>
  </si>
  <si>
    <t>이 대 현 차 장 (TEL : 010-9584-8878)</t>
    <phoneticPr fontId="5" type="noConversion"/>
  </si>
  <si>
    <t>시스템 비계</t>
    <phoneticPr fontId="54" type="noConversion"/>
  </si>
  <si>
    <t>* 견적조건 :</t>
  </si>
  <si>
    <t>H-18/1817</t>
    <phoneticPr fontId="58" type="noConversion"/>
  </si>
  <si>
    <t>2. 기타사항-별도</t>
    <phoneticPr fontId="5" type="noConversion"/>
  </si>
  <si>
    <t>다. 반납운반비</t>
    <phoneticPr fontId="54" type="noConversion"/>
  </si>
  <si>
    <t>마. 반납운반비</t>
    <phoneticPr fontId="54" type="noConversion"/>
  </si>
  <si>
    <t>마. 반납운반비</t>
    <phoneticPr fontId="54" type="noConversion"/>
  </si>
  <si>
    <t>M3/1일</t>
    <phoneticPr fontId="4" type="noConversion"/>
  </si>
  <si>
    <r>
      <t>시스템동바리-첫투입- 마감일 2개월 기준이후 日/M3당</t>
    </r>
    <r>
      <rPr>
        <b/>
        <sz val="10"/>
        <rFont val="맑은 고딕"/>
        <family val="3"/>
        <charset val="129"/>
      </rPr>
      <t>-30원</t>
    </r>
    <phoneticPr fontId="4" type="noConversion"/>
  </si>
  <si>
    <r>
      <t>시스템비계-첫투입- 마감일 3개월 기준이후 日/M2당-40</t>
    </r>
    <r>
      <rPr>
        <b/>
        <sz val="10"/>
        <rFont val="맑은 고딕"/>
        <family val="3"/>
        <charset val="129"/>
      </rPr>
      <t>원</t>
    </r>
    <phoneticPr fontId="5" type="noConversion"/>
  </si>
  <si>
    <t>* 사용기간 3개월후 임대료</t>
    <phoneticPr fontId="4" type="noConversion"/>
  </si>
  <si>
    <t>3개월내</t>
    <phoneticPr fontId="4" type="noConversion"/>
  </si>
  <si>
    <t>3개월내</t>
    <phoneticPr fontId="4" type="noConversion"/>
  </si>
  <si>
    <t>사용기간 : 3개월내</t>
    <phoneticPr fontId="4" type="noConversion"/>
  </si>
  <si>
    <t>나. 수직보호망-1500D망</t>
    <phoneticPr fontId="4" type="noConversion"/>
  </si>
  <si>
    <t>시스템비계 설치공사</t>
    <phoneticPr fontId="4" type="noConversion"/>
  </si>
  <si>
    <t>서울시 강서구 공항대로 242, 열린M타워 8층 820,821호</t>
    <phoneticPr fontId="5" type="noConversion"/>
  </si>
  <si>
    <t>* 견적조건 :</t>
    <phoneticPr fontId="5" type="noConversion"/>
  </si>
  <si>
    <t>성진디엔씨</t>
    <phoneticPr fontId="54" type="noConversion"/>
  </si>
  <si>
    <t>세운5-1,3구역 업무시설</t>
    <phoneticPr fontId="54" type="noConversion"/>
  </si>
  <si>
    <t>결재- 자재비 : 설치후 100%</t>
    <phoneticPr fontId="4" type="noConversion"/>
  </si>
  <si>
    <t>낙하물 방지망 / (시스템동바리)작업발판 별도.</t>
    <phoneticPr fontId="4" type="noConversion"/>
  </si>
  <si>
    <r>
      <t>시스템동바리-첫투입- 마감일 2개월 기준이후 日/M3당</t>
    </r>
    <r>
      <rPr>
        <b/>
        <sz val="10"/>
        <rFont val="맑은 고딕"/>
        <family val="3"/>
        <charset val="129"/>
      </rPr>
      <t xml:space="preserve">-30원 </t>
    </r>
    <r>
      <rPr>
        <sz val="10"/>
        <rFont val="맑은 고딕"/>
        <family val="3"/>
        <charset val="129"/>
      </rPr>
      <t>/ 시스템비계-첫투입- 마감일 3개월 기준이후 日/M2당-</t>
    </r>
    <r>
      <rPr>
        <b/>
        <sz val="10"/>
        <rFont val="맑은 고딕"/>
        <family val="3"/>
        <charset val="129"/>
      </rPr>
      <t>40</t>
    </r>
    <r>
      <rPr>
        <sz val="10"/>
        <rFont val="맑은 고딕"/>
        <family val="3"/>
        <charset val="129"/>
      </rPr>
      <t>원</t>
    </r>
    <phoneticPr fontId="4" type="noConversion"/>
  </si>
  <si>
    <t>설치구간 작업환경 확보,자재인양구. ( 시공팀 - 해당구간 정리 및 작업환경 확보 시, 추가 품 발생 )</t>
  </si>
  <si>
    <t>설치구간 작업환경 확보,자재인양구. ( 시공팀 - 해당구간 정리 및 작업환경 확보 시, 추가 품 발생 )</t>
    <phoneticPr fontId="4" type="noConversion"/>
  </si>
  <si>
    <t>물량산출 기준 = 외부비계. ( 비계 외측선 x 골조높이(하부바닥선) + 상부마지막 방호선반높이까지 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</si>
</sst>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[$-412]General"/>
    <numFmt numFmtId="177" formatCode="#,##0_ "/>
    <numFmt numFmtId="178" formatCode="_-* #,##0_-;\-* #,##0_-;_-* &quot;-&quot;??_-;_-@_-"/>
    <numFmt numFmtId="179" formatCode="_-* #,##0.0_-;\-* #,##0.0_-;_-* &quot;-&quot;??_-;_-@_-"/>
    <numFmt numFmtId="180" formatCode="#."/>
    <numFmt numFmtId="181" formatCode="0_ "/>
    <numFmt numFmtId="182" formatCode="\ "/>
    <numFmt numFmtId="183" formatCode="d/m/yy\ h:mm"/>
    <numFmt numFmtId="184" formatCode="_ * #,##0.00_ ;_ * \-#,##0.00_ ;_ * &quot;-&quot;??_ ;_ @_ "/>
    <numFmt numFmtId="185" formatCode="0.0&quot;  &quot;"/>
    <numFmt numFmtId="186" formatCode="0.0000&quot;  &quot;"/>
    <numFmt numFmtId="187" formatCode="_([$€]* #,##0.00_);_([$€]* \(#,##0.00\);_([$€]* &quot;-&quot;??_);_(@_)"/>
    <numFmt numFmtId="188" formatCode="0.0%"/>
    <numFmt numFmtId="189" formatCode="&quot;₩&quot;#,##0;[Red]\!\-&quot;₩&quot;#,##0"/>
    <numFmt numFmtId="190" formatCode="&quot;D&quot;###&quot; X &quot;##&quot;m&quot;"/>
    <numFmt numFmtId="191" formatCode="_-&quot;₩&quot;* #,##0.00_-;\!\-&quot;₩&quot;* #,##0.00_-;_-&quot;₩&quot;* &quot;-&quot;??_-;_-@_-"/>
    <numFmt numFmtId="192" formatCode="yyyy&quot;년&quot;\ m&quot;월&quot;\ d&quot;일&quot;"/>
    <numFmt numFmtId="193" formatCode="_ * #,##0_ ;_ * \-#,##0_ ;_ * &quot;-&quot;_ ;_ @_ "/>
    <numFmt numFmtId="194" formatCode="&quot;₩&quot;#,##0.00;\!\-&quot;₩&quot;#,##0.00"/>
    <numFmt numFmtId="195" formatCode="#,##0;[Red]&quot;-&quot;#,##0"/>
    <numFmt numFmtId="196" formatCode="#,##0.00;[Red]&quot;-&quot;#,##0.00"/>
    <numFmt numFmtId="197" formatCode="_-* #,##0_-;\!\-* #,##0_-;_-* &quot;-&quot;_-;_-@_-"/>
    <numFmt numFmtId="198" formatCode="_-&quot;₩&quot;* #,##0_-;\!\-&quot;₩&quot;* #,##0_-;_-&quot;₩&quot;* &quot;-&quot;_-;_-@_-"/>
    <numFmt numFmtId="199" formatCode="&quot;₩&quot;#,##0.00;[Red]\!\-&quot;₩&quot;#,##0.00"/>
    <numFmt numFmtId="200" formatCode="_-* #,##0.0_-;\-* #,##0.0_-;_-* &quot;-&quot;_-;_-@_-"/>
    <numFmt numFmtId="201" formatCode="_-* #,##0.0_-;\-* #,##0.0_-;_-* &quot;-&quot;?_-;_-@_-"/>
    <numFmt numFmtId="202" formatCode="0.0"/>
    <numFmt numFmtId="203" formatCode="#,##0.0"/>
    <numFmt numFmtId="204" formatCode="[DBNum4][$-412]General"/>
  </numFmts>
  <fonts count="83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28"/>
      <name val="HY견명조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34"/>
      <name val="HY견명조"/>
      <family val="1"/>
      <charset val="129"/>
    </font>
    <font>
      <b/>
      <sz val="10"/>
      <name val="돋움"/>
      <family val="3"/>
      <charset val="129"/>
    </font>
    <font>
      <b/>
      <sz val="24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µ¸¿ò"/>
      <family val="1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Arial"/>
      <family val="2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b/>
      <sz val="10"/>
      <name val="굴림체"/>
      <family val="3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0"/>
      <name val="굴림체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돋움"/>
      <family val="3"/>
      <charset val="129"/>
    </font>
    <font>
      <sz val="8"/>
      <name val="바탕"/>
      <family val="1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2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2"/>
      <color rgb="FFFF0000"/>
      <name val="돋움"/>
      <family val="3"/>
      <charset val="129"/>
    </font>
    <font>
      <b/>
      <sz val="15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FF0000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20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theme="0" tint="-0.499984740745262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theme="0" tint="-0.499984740745262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theme="0" tint="-0.499984740745262"/>
      </left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theme="0" tint="-0.499984740745262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theme="0" tint="-0.499984740745262"/>
      </left>
      <right style="dashed">
        <color indexed="64"/>
      </right>
      <top style="double">
        <color indexed="64"/>
      </top>
      <bottom style="dotted">
        <color auto="1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otted">
        <color auto="1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dotted">
        <color auto="1"/>
      </bottom>
      <diagonal/>
    </border>
    <border>
      <left style="medium">
        <color theme="0" tint="-0.499984740745262"/>
      </left>
      <right style="dashed">
        <color indexed="64"/>
      </right>
      <top style="dotted">
        <color auto="1"/>
      </top>
      <bottom style="dotted">
        <color auto="1"/>
      </bottom>
      <diagonal/>
    </border>
    <border>
      <left style="dashed">
        <color indexed="64"/>
      </left>
      <right style="dashed">
        <color indexed="64"/>
      </right>
      <top style="dotted">
        <color auto="1"/>
      </top>
      <bottom style="dotted">
        <color auto="1"/>
      </bottom>
      <diagonal/>
    </border>
    <border>
      <left style="dashed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theme="0" tint="-0.499984740745262"/>
      </left>
      <right style="dashed">
        <color indexed="64"/>
      </right>
      <top style="dotted">
        <color auto="1"/>
      </top>
      <bottom style="double">
        <color auto="1"/>
      </bottom>
      <diagonal/>
    </border>
    <border>
      <left style="dashed">
        <color indexed="64"/>
      </left>
      <right style="dashed">
        <color indexed="64"/>
      </right>
      <top style="dotted">
        <color auto="1"/>
      </top>
      <bottom style="double">
        <color auto="1"/>
      </bottom>
      <diagonal/>
    </border>
    <border>
      <left style="dashed">
        <color indexed="64"/>
      </left>
      <right style="medium">
        <color indexed="64"/>
      </right>
      <top style="dotted">
        <color auto="1"/>
      </top>
      <bottom style="double">
        <color auto="1"/>
      </bottom>
      <diagonal/>
    </border>
    <border>
      <left style="medium">
        <color theme="0" tint="-0.499984740745262"/>
      </left>
      <right style="dashed">
        <color indexed="64"/>
      </right>
      <top style="double">
        <color indexed="64"/>
      </top>
      <bottom style="dashed">
        <color theme="1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theme="1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dashed">
        <color theme="1"/>
      </bottom>
      <diagonal/>
    </border>
    <border>
      <left style="medium">
        <color theme="0" tint="-0.499984740745262"/>
      </left>
      <right style="dashed">
        <color indexed="64"/>
      </right>
      <top style="dashed">
        <color theme="1"/>
      </top>
      <bottom style="dashed">
        <color theme="1"/>
      </bottom>
      <diagonal/>
    </border>
    <border>
      <left style="dashed">
        <color indexed="64"/>
      </left>
      <right style="dashed">
        <color indexed="64"/>
      </right>
      <top style="dashed">
        <color theme="1"/>
      </top>
      <bottom style="dashed">
        <color theme="1"/>
      </bottom>
      <diagonal/>
    </border>
    <border>
      <left style="dashed">
        <color indexed="64"/>
      </left>
      <right style="medium">
        <color indexed="64"/>
      </right>
      <top style="dashed">
        <color theme="1"/>
      </top>
      <bottom style="dashed">
        <color theme="1"/>
      </bottom>
      <diagonal/>
    </border>
    <border>
      <left style="medium">
        <color theme="0" tint="-0.499984740745262"/>
      </left>
      <right style="dashed">
        <color indexed="64"/>
      </right>
      <top style="dashed">
        <color theme="1"/>
      </top>
      <bottom/>
      <diagonal/>
    </border>
    <border>
      <left style="dashed">
        <color indexed="64"/>
      </left>
      <right style="dashed">
        <color indexed="64"/>
      </right>
      <top style="dashed">
        <color theme="1"/>
      </top>
      <bottom/>
      <diagonal/>
    </border>
    <border>
      <left style="dashed">
        <color indexed="64"/>
      </left>
      <right style="medium">
        <color indexed="64"/>
      </right>
      <top style="dashed">
        <color theme="1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</borders>
  <cellStyleXfs count="217">
    <xf numFmtId="0" fontId="0" fillId="0" borderId="0">
      <alignment vertical="center"/>
    </xf>
    <xf numFmtId="182" fontId="9" fillId="0" borderId="0" applyFill="0" applyBorder="0" applyProtection="0"/>
    <xf numFmtId="0" fontId="9" fillId="0" borderId="0"/>
    <xf numFmtId="0" fontId="10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/>
    <xf numFmtId="0" fontId="13" fillId="0" borderId="0"/>
    <xf numFmtId="183" fontId="9" fillId="0" borderId="0"/>
    <xf numFmtId="3" fontId="16" fillId="0" borderId="0" applyFont="0" applyFill="0" applyBorder="0" applyAlignment="0" applyProtection="0"/>
    <xf numFmtId="0" fontId="9" fillId="0" borderId="0" applyFont="0" applyFill="0" applyBorder="0" applyAlignment="0" applyProtection="0"/>
    <xf numFmtId="5" fontId="16" fillId="0" borderId="0" applyFont="0" applyFill="0" applyBorder="0" applyAlignment="0" applyProtection="0"/>
    <xf numFmtId="185" fontId="9" fillId="0" borderId="0"/>
    <xf numFmtId="0" fontId="9" fillId="0" borderId="0">
      <protection locked="0"/>
    </xf>
    <xf numFmtId="186" fontId="9" fillId="0" borderId="0"/>
    <xf numFmtId="187" fontId="2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7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0" borderId="0">
      <protection locked="0"/>
    </xf>
    <xf numFmtId="188" fontId="9" fillId="0" borderId="0">
      <protection locked="0"/>
    </xf>
    <xf numFmtId="38" fontId="18" fillId="16" borderId="0" applyNumberFormat="0" applyBorder="0" applyAlignment="0" applyProtection="0"/>
    <xf numFmtId="0" fontId="19" fillId="0" borderId="0">
      <alignment horizontal="left"/>
    </xf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10" fontId="18" fillId="16" borderId="3" applyNumberFormat="0" applyBorder="0" applyAlignment="0" applyProtection="0"/>
    <xf numFmtId="0" fontId="22" fillId="0" borderId="4"/>
    <xf numFmtId="181" fontId="2" fillId="0" borderId="0"/>
    <xf numFmtId="0" fontId="9" fillId="0" borderId="0"/>
    <xf numFmtId="10" fontId="16" fillId="0" borderId="0" applyFont="0" applyFill="0" applyBorder="0" applyAlignment="0" applyProtection="0"/>
    <xf numFmtId="0" fontId="22" fillId="0" borderId="0"/>
    <xf numFmtId="0" fontId="9" fillId="0" borderId="5">
      <protection locked="0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1" borderId="6" applyNumberFormat="0" applyAlignment="0" applyProtection="0">
      <alignment vertical="center"/>
    </xf>
    <xf numFmtId="189" fontId="2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90" fontId="26" fillId="0" borderId="0"/>
    <xf numFmtId="0" fontId="27" fillId="3" borderId="0" applyNumberFormat="0" applyBorder="0" applyAlignment="0" applyProtection="0">
      <alignment vertical="center"/>
    </xf>
    <xf numFmtId="0" fontId="14" fillId="0" borderId="0">
      <protection locked="0"/>
    </xf>
    <xf numFmtId="3" fontId="15" fillId="0" borderId="7">
      <alignment horizontal="center"/>
    </xf>
    <xf numFmtId="0" fontId="14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22" borderId="8" applyNumberFormat="0" applyFont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32" fillId="24" borderId="9" applyNumberFormat="0" applyAlignment="0" applyProtection="0">
      <alignment vertical="center"/>
    </xf>
    <xf numFmtId="191" fontId="2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92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193" fontId="2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7" borderId="6" applyNumberFormat="0" applyAlignment="0" applyProtection="0">
      <alignment vertical="center"/>
    </xf>
    <xf numFmtId="4" fontId="14" fillId="0" borderId="0">
      <protection locked="0"/>
    </xf>
    <xf numFmtId="194" fontId="2" fillId="0" borderId="0">
      <protection locked="0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9" fillId="0" borderId="0"/>
    <xf numFmtId="0" fontId="41" fillId="21" borderId="15" applyNumberFormat="0" applyAlignment="0" applyProtection="0">
      <alignment vertical="center"/>
    </xf>
    <xf numFmtId="195" fontId="15" fillId="0" borderId="0" applyFont="0" applyFill="0" applyBorder="0" applyAlignment="0" applyProtection="0"/>
    <xf numFmtId="38" fontId="42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" fillId="0" borderId="0" applyFont="0" applyFill="0" applyBorder="0" applyAlignment="0" applyProtection="0"/>
    <xf numFmtId="196" fontId="15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60" fillId="0" borderId="0" applyFont="0" applyFill="0" applyBorder="0" applyAlignment="0" applyProtection="0">
      <alignment vertical="center"/>
    </xf>
    <xf numFmtId="197" fontId="2" fillId="0" borderId="0">
      <protection locked="0"/>
    </xf>
    <xf numFmtId="0" fontId="2" fillId="0" borderId="0"/>
    <xf numFmtId="0" fontId="60" fillId="0" borderId="0">
      <alignment vertical="center"/>
    </xf>
    <xf numFmtId="0" fontId="16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9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60" fillId="0" borderId="0">
      <alignment vertical="center"/>
    </xf>
    <xf numFmtId="0" fontId="60" fillId="0" borderId="0">
      <alignment vertical="center"/>
    </xf>
    <xf numFmtId="0" fontId="2" fillId="0" borderId="0">
      <alignment vertical="center"/>
    </xf>
    <xf numFmtId="0" fontId="14" fillId="0" borderId="16">
      <protection locked="0"/>
    </xf>
    <xf numFmtId="198" fontId="2" fillId="0" borderId="0">
      <protection locked="0"/>
    </xf>
    <xf numFmtId="199" fontId="2" fillId="0" borderId="0">
      <protection locked="0"/>
    </xf>
  </cellStyleXfs>
  <cellXfs count="815">
    <xf numFmtId="0" fontId="0" fillId="0" borderId="0" xfId="0">
      <alignment vertical="center"/>
    </xf>
    <xf numFmtId="41" fontId="49" fillId="0" borderId="3" xfId="106" applyFont="1" applyFill="1" applyBorder="1" applyAlignment="1">
      <alignment horizontal="center" vertical="center"/>
    </xf>
    <xf numFmtId="0" fontId="2" fillId="0" borderId="0" xfId="169"/>
    <xf numFmtId="0" fontId="7" fillId="0" borderId="0" xfId="169" applyFont="1" applyAlignment="1">
      <alignment horizontal="right"/>
    </xf>
    <xf numFmtId="0" fontId="8" fillId="0" borderId="0" xfId="169" applyFont="1" applyAlignment="1">
      <alignment horizontal="center"/>
    </xf>
    <xf numFmtId="43" fontId="2" fillId="0" borderId="0" xfId="169" applyNumberFormat="1"/>
    <xf numFmtId="179" fontId="2" fillId="0" borderId="0" xfId="169" applyNumberFormat="1"/>
    <xf numFmtId="0" fontId="43" fillId="0" borderId="0" xfId="169" applyFont="1"/>
    <xf numFmtId="0" fontId="44" fillId="0" borderId="0" xfId="169" applyFont="1" applyAlignment="1">
      <alignment vertical="center"/>
    </xf>
    <xf numFmtId="0" fontId="44" fillId="0" borderId="0" xfId="169" applyFont="1"/>
    <xf numFmtId="14" fontId="46" fillId="0" borderId="0" xfId="169" applyNumberFormat="1" applyFont="1" applyAlignment="1">
      <alignment horizontal="center"/>
    </xf>
    <xf numFmtId="0" fontId="46" fillId="0" borderId="0" xfId="169" applyFont="1" applyAlignment="1">
      <alignment vertical="center"/>
    </xf>
    <xf numFmtId="0" fontId="44" fillId="0" borderId="0" xfId="169" applyFont="1" applyAlignment="1">
      <alignment horizontal="right"/>
    </xf>
    <xf numFmtId="0" fontId="43" fillId="0" borderId="3" xfId="169" applyFont="1" applyBorder="1" applyAlignment="1">
      <alignment horizontal="center" vertical="center"/>
    </xf>
    <xf numFmtId="0" fontId="43" fillId="0" borderId="17" xfId="169" applyFont="1" applyBorder="1" applyAlignment="1">
      <alignment horizontal="center" vertical="center"/>
    </xf>
    <xf numFmtId="0" fontId="43" fillId="0" borderId="18" xfId="169" applyFont="1" applyBorder="1" applyAlignment="1">
      <alignment horizontal="center" vertical="center"/>
    </xf>
    <xf numFmtId="0" fontId="43" fillId="25" borderId="3" xfId="169" applyFont="1" applyFill="1" applyBorder="1"/>
    <xf numFmtId="41" fontId="49" fillId="0" borderId="19" xfId="106" applyFont="1" applyFill="1" applyBorder="1" applyAlignment="1">
      <alignment horizontal="center" vertical="center"/>
    </xf>
    <xf numFmtId="41" fontId="62" fillId="0" borderId="3" xfId="106" applyFont="1" applyFill="1" applyBorder="1" applyAlignment="1">
      <alignment vertical="center"/>
    </xf>
    <xf numFmtId="179" fontId="43" fillId="0" borderId="3" xfId="169" applyNumberFormat="1" applyFont="1" applyBorder="1"/>
    <xf numFmtId="0" fontId="43" fillId="0" borderId="21" xfId="169" applyFont="1" applyBorder="1" applyAlignment="1">
      <alignment vertical="center"/>
    </xf>
    <xf numFmtId="41" fontId="43" fillId="0" borderId="21" xfId="106" applyFont="1" applyBorder="1" applyAlignment="1">
      <alignment vertical="center"/>
    </xf>
    <xf numFmtId="180" fontId="43" fillId="0" borderId="22" xfId="169" applyNumberFormat="1" applyFont="1" applyBorder="1" applyAlignment="1">
      <alignment vertical="center"/>
    </xf>
    <xf numFmtId="41" fontId="43" fillId="0" borderId="0" xfId="106" applyFont="1" applyBorder="1" applyAlignment="1">
      <alignment vertical="center"/>
    </xf>
    <xf numFmtId="0" fontId="43" fillId="0" borderId="23" xfId="169" applyFont="1" applyBorder="1"/>
    <xf numFmtId="38" fontId="47" fillId="26" borderId="3" xfId="106" applyNumberFormat="1" applyFont="1" applyFill="1" applyBorder="1" applyAlignment="1">
      <alignment horizontal="center" vertical="center"/>
    </xf>
    <xf numFmtId="179" fontId="47" fillId="26" borderId="3" xfId="106" applyNumberFormat="1" applyFont="1" applyFill="1" applyBorder="1" applyAlignment="1">
      <alignment horizontal="center" vertical="center"/>
    </xf>
    <xf numFmtId="179" fontId="47" fillId="26" borderId="3" xfId="106" applyNumberFormat="1" applyFont="1" applyFill="1" applyBorder="1" applyAlignment="1">
      <alignment vertical="center"/>
    </xf>
    <xf numFmtId="0" fontId="43" fillId="0" borderId="0" xfId="169" applyFont="1" applyAlignment="1">
      <alignment horizontal="right"/>
    </xf>
    <xf numFmtId="176" fontId="45" fillId="27" borderId="25" xfId="169" applyNumberFormat="1" applyFont="1" applyFill="1" applyBorder="1" applyAlignment="1">
      <alignment horizontal="center" vertical="center"/>
    </xf>
    <xf numFmtId="41" fontId="44" fillId="27" borderId="2" xfId="169" applyNumberFormat="1" applyFont="1" applyFill="1" applyBorder="1" applyAlignment="1">
      <alignment horizontal="right" vertical="center"/>
    </xf>
    <xf numFmtId="0" fontId="44" fillId="27" borderId="26" xfId="169" applyFont="1" applyFill="1" applyBorder="1" applyAlignment="1">
      <alignment horizontal="left" vertical="center"/>
    </xf>
    <xf numFmtId="41" fontId="43" fillId="0" borderId="0" xfId="106" applyFont="1" applyBorder="1" applyAlignment="1">
      <alignment horizontal="left" vertical="center"/>
    </xf>
    <xf numFmtId="41" fontId="63" fillId="26" borderId="3" xfId="106" applyFont="1" applyFill="1" applyBorder="1" applyAlignment="1">
      <alignment horizontal="center" vertical="center"/>
    </xf>
    <xf numFmtId="41" fontId="2" fillId="0" borderId="0" xfId="169" applyNumberFormat="1"/>
    <xf numFmtId="10" fontId="43" fillId="0" borderId="27" xfId="169" applyNumberFormat="1" applyFont="1" applyBorder="1"/>
    <xf numFmtId="0" fontId="43" fillId="0" borderId="28" xfId="169" applyFont="1" applyBorder="1" applyAlignment="1">
      <alignment horizontal="center" vertical="center"/>
    </xf>
    <xf numFmtId="0" fontId="43" fillId="0" borderId="19" xfId="169" applyFont="1" applyBorder="1" applyAlignment="1">
      <alignment horizontal="center" vertical="center"/>
    </xf>
    <xf numFmtId="0" fontId="7" fillId="0" borderId="0" xfId="169" applyFont="1" applyAlignment="1">
      <alignment horizontal="left"/>
    </xf>
    <xf numFmtId="0" fontId="43" fillId="0" borderId="0" xfId="169" applyFont="1" applyAlignment="1">
      <alignment horizontal="left"/>
    </xf>
    <xf numFmtId="41" fontId="49" fillId="0" borderId="28" xfId="106" applyFont="1" applyFill="1" applyBorder="1" applyAlignment="1">
      <alignment horizontal="center" vertical="center"/>
    </xf>
    <xf numFmtId="41" fontId="49" fillId="0" borderId="28" xfId="116" applyFont="1" applyFill="1" applyBorder="1" applyAlignment="1">
      <alignment horizontal="center" vertical="center"/>
    </xf>
    <xf numFmtId="41" fontId="49" fillId="0" borderId="28" xfId="106" applyFont="1" applyFill="1" applyBorder="1" applyAlignment="1">
      <alignment vertical="center"/>
    </xf>
    <xf numFmtId="41" fontId="49" fillId="0" borderId="29" xfId="106" applyFont="1" applyFill="1" applyBorder="1" applyAlignment="1">
      <alignment vertical="center"/>
    </xf>
    <xf numFmtId="41" fontId="49" fillId="0" borderId="18" xfId="106" applyFont="1" applyFill="1" applyBorder="1" applyAlignment="1">
      <alignment horizontal="center" vertical="center"/>
    </xf>
    <xf numFmtId="41" fontId="49" fillId="0" borderId="18" xfId="116" applyFont="1" applyFill="1" applyBorder="1" applyAlignment="1">
      <alignment horizontal="center" vertical="center"/>
    </xf>
    <xf numFmtId="41" fontId="49" fillId="0" borderId="30" xfId="106" applyFont="1" applyFill="1" applyBorder="1" applyAlignment="1">
      <alignment vertical="center"/>
    </xf>
    <xf numFmtId="41" fontId="49" fillId="0" borderId="31" xfId="106" applyFont="1" applyFill="1" applyBorder="1" applyAlignment="1">
      <alignment vertical="center"/>
    </xf>
    <xf numFmtId="41" fontId="49" fillId="0" borderId="19" xfId="116" applyFont="1" applyFill="1" applyBorder="1" applyAlignment="1">
      <alignment horizontal="center" vertical="center"/>
    </xf>
    <xf numFmtId="41" fontId="49" fillId="25" borderId="3" xfId="116" applyFont="1" applyFill="1" applyBorder="1" applyAlignment="1">
      <alignment horizontal="center" vertical="center"/>
    </xf>
    <xf numFmtId="41" fontId="49" fillId="25" borderId="3" xfId="106" applyFont="1" applyFill="1" applyBorder="1" applyAlignment="1">
      <alignment vertical="center"/>
    </xf>
    <xf numFmtId="41" fontId="62" fillId="25" borderId="26" xfId="106" applyFont="1" applyFill="1" applyBorder="1" applyAlignment="1">
      <alignment vertical="center"/>
    </xf>
    <xf numFmtId="41" fontId="49" fillId="0" borderId="19" xfId="106" applyFont="1" applyFill="1" applyBorder="1" applyAlignment="1">
      <alignment vertical="center"/>
    </xf>
    <xf numFmtId="41" fontId="49" fillId="0" borderId="17" xfId="106" applyFont="1" applyFill="1" applyBorder="1" applyAlignment="1">
      <alignment vertical="center"/>
    </xf>
    <xf numFmtId="0" fontId="43" fillId="0" borderId="27" xfId="169" applyFont="1" applyBorder="1"/>
    <xf numFmtId="41" fontId="49" fillId="25" borderId="3" xfId="169" applyNumberFormat="1" applyFont="1" applyFill="1" applyBorder="1" applyAlignment="1">
      <alignment horizontal="center" vertical="center"/>
    </xf>
    <xf numFmtId="41" fontId="62" fillId="25" borderId="3" xfId="106" applyFont="1" applyFill="1" applyBorder="1" applyAlignment="1">
      <alignment vertical="center"/>
    </xf>
    <xf numFmtId="179" fontId="43" fillId="25" borderId="3" xfId="169" applyNumberFormat="1" applyFont="1" applyFill="1" applyBorder="1"/>
    <xf numFmtId="38" fontId="49" fillId="0" borderId="3" xfId="169" applyNumberFormat="1" applyFont="1" applyBorder="1" applyAlignment="1">
      <alignment horizontal="center" vertical="center"/>
    </xf>
    <xf numFmtId="38" fontId="49" fillId="0" borderId="3" xfId="106" applyNumberFormat="1" applyFont="1" applyFill="1" applyBorder="1" applyAlignment="1">
      <alignment horizontal="center" vertical="center"/>
    </xf>
    <xf numFmtId="41" fontId="64" fillId="0" borderId="3" xfId="106" quotePrefix="1" applyFont="1" applyFill="1" applyBorder="1" applyAlignment="1">
      <alignment vertical="center"/>
    </xf>
    <xf numFmtId="200" fontId="47" fillId="26" borderId="3" xfId="116" applyNumberFormat="1" applyFont="1" applyFill="1" applyBorder="1" applyAlignment="1">
      <alignment horizontal="center" vertical="center"/>
    </xf>
    <xf numFmtId="179" fontId="47" fillId="26" borderId="3" xfId="169" applyNumberFormat="1" applyFont="1" applyFill="1" applyBorder="1"/>
    <xf numFmtId="0" fontId="43" fillId="0" borderId="0" xfId="169" applyFont="1" applyAlignment="1">
      <alignment vertical="center"/>
    </xf>
    <xf numFmtId="0" fontId="43" fillId="0" borderId="0" xfId="169" applyFont="1" applyAlignment="1">
      <alignment horizontal="left" vertical="center"/>
    </xf>
    <xf numFmtId="202" fontId="2" fillId="0" borderId="0" xfId="169" applyNumberFormat="1"/>
    <xf numFmtId="41" fontId="49" fillId="25" borderId="3" xfId="106" applyFont="1" applyFill="1" applyBorder="1" applyAlignment="1">
      <alignment horizontal="center" vertical="center"/>
    </xf>
    <xf numFmtId="41" fontId="49" fillId="0" borderId="30" xfId="106" applyFont="1" applyFill="1" applyBorder="1" applyAlignment="1">
      <alignment horizontal="center" vertical="center"/>
    </xf>
    <xf numFmtId="41" fontId="49" fillId="0" borderId="30" xfId="116" applyFont="1" applyFill="1" applyBorder="1" applyAlignment="1">
      <alignment horizontal="center" vertical="center"/>
    </xf>
    <xf numFmtId="0" fontId="43" fillId="0" borderId="30" xfId="169" applyFont="1" applyBorder="1" applyAlignment="1">
      <alignment horizontal="center" vertical="center"/>
    </xf>
    <xf numFmtId="180" fontId="43" fillId="0" borderId="20" xfId="169" applyNumberFormat="1" applyFont="1" applyBorder="1" applyAlignment="1">
      <alignment vertical="center"/>
    </xf>
    <xf numFmtId="41" fontId="43" fillId="0" borderId="23" xfId="106" applyFont="1" applyBorder="1" applyAlignment="1">
      <alignment vertical="center"/>
    </xf>
    <xf numFmtId="0" fontId="55" fillId="0" borderId="0" xfId="210" applyFont="1"/>
    <xf numFmtId="0" fontId="51" fillId="0" borderId="0" xfId="210" applyFont="1"/>
    <xf numFmtId="0" fontId="66" fillId="0" borderId="0" xfId="210" applyFont="1" applyAlignment="1">
      <alignment horizontal="center" vertical="center"/>
    </xf>
    <xf numFmtId="0" fontId="66" fillId="0" borderId="0" xfId="210" applyFont="1"/>
    <xf numFmtId="0" fontId="52" fillId="0" borderId="0" xfId="210" applyFont="1"/>
    <xf numFmtId="0" fontId="7" fillId="0" borderId="0" xfId="210" applyFont="1"/>
    <xf numFmtId="41" fontId="69" fillId="0" borderId="40" xfId="139" applyFont="1" applyBorder="1" applyAlignment="1">
      <alignment horizontal="center" vertical="center"/>
    </xf>
    <xf numFmtId="38" fontId="70" fillId="0" borderId="40" xfId="210" applyNumberFormat="1" applyFont="1" applyBorder="1" applyAlignment="1">
      <alignment horizontal="center" vertical="center"/>
    </xf>
    <xf numFmtId="193" fontId="70" fillId="0" borderId="42" xfId="129" applyNumberFormat="1" applyFont="1" applyBorder="1" applyAlignment="1">
      <alignment horizontal="center" vertical="center"/>
    </xf>
    <xf numFmtId="38" fontId="70" fillId="0" borderId="42" xfId="210" applyNumberFormat="1" applyFont="1" applyBorder="1" applyAlignment="1">
      <alignment horizontal="center" vertical="center"/>
    </xf>
    <xf numFmtId="0" fontId="70" fillId="0" borderId="0" xfId="210" quotePrefix="1" applyFont="1" applyAlignment="1">
      <alignment horizontal="left" vertical="center"/>
    </xf>
    <xf numFmtId="0" fontId="70" fillId="0" borderId="0" xfId="210" applyFont="1" applyAlignment="1">
      <alignment horizontal="left" vertical="center"/>
    </xf>
    <xf numFmtId="0" fontId="67" fillId="0" borderId="0" xfId="210" applyFont="1" applyAlignment="1">
      <alignment horizontal="center" vertical="center"/>
    </xf>
    <xf numFmtId="0" fontId="70" fillId="0" borderId="44" xfId="210" applyFont="1" applyBorder="1" applyAlignment="1">
      <alignment horizontal="left" vertical="center"/>
    </xf>
    <xf numFmtId="0" fontId="51" fillId="0" borderId="46" xfId="210" applyFont="1" applyBorder="1" applyAlignment="1">
      <alignment horizontal="center" vertical="center"/>
    </xf>
    <xf numFmtId="9" fontId="51" fillId="0" borderId="46" xfId="210" applyNumberFormat="1" applyFont="1" applyBorder="1" applyAlignment="1">
      <alignment horizontal="center" vertical="center"/>
    </xf>
    <xf numFmtId="38" fontId="70" fillId="0" borderId="47" xfId="210" applyNumberFormat="1" applyFont="1" applyBorder="1" applyAlignment="1">
      <alignment horizontal="center" vertical="center"/>
    </xf>
    <xf numFmtId="38" fontId="70" fillId="0" borderId="48" xfId="210" applyNumberFormat="1" applyFont="1" applyBorder="1" applyAlignment="1">
      <alignment horizontal="center" vertical="center"/>
    </xf>
    <xf numFmtId="38" fontId="70" fillId="28" borderId="47" xfId="210" applyNumberFormat="1" applyFont="1" applyFill="1" applyBorder="1" applyAlignment="1">
      <alignment horizontal="center" vertical="center"/>
    </xf>
    <xf numFmtId="0" fontId="70" fillId="0" borderId="49" xfId="210" applyFont="1" applyBorder="1" applyAlignment="1">
      <alignment horizontal="left" vertical="center"/>
    </xf>
    <xf numFmtId="177" fontId="45" fillId="27" borderId="2" xfId="169" applyNumberFormat="1" applyFont="1" applyFill="1" applyBorder="1" applyAlignment="1">
      <alignment vertical="center"/>
    </xf>
    <xf numFmtId="177" fontId="45" fillId="27" borderId="2" xfId="169" applyNumberFormat="1" applyFont="1" applyFill="1" applyBorder="1" applyAlignment="1">
      <alignment horizontal="center" vertical="center"/>
    </xf>
    <xf numFmtId="180" fontId="72" fillId="0" borderId="22" xfId="169" applyNumberFormat="1" applyFont="1" applyBorder="1" applyAlignment="1">
      <alignment vertical="center"/>
    </xf>
    <xf numFmtId="41" fontId="72" fillId="0" borderId="0" xfId="106" applyFont="1" applyBorder="1" applyAlignment="1">
      <alignment horizontal="left" vertical="center"/>
    </xf>
    <xf numFmtId="180" fontId="72" fillId="0" borderId="34" xfId="169" applyNumberFormat="1" applyFont="1" applyBorder="1" applyAlignment="1">
      <alignment vertical="center"/>
    </xf>
    <xf numFmtId="0" fontId="63" fillId="0" borderId="24" xfId="169" applyFont="1" applyBorder="1" applyAlignment="1">
      <alignment vertical="center"/>
    </xf>
    <xf numFmtId="41" fontId="72" fillId="0" borderId="24" xfId="106" applyFont="1" applyBorder="1" applyAlignment="1">
      <alignment vertical="center"/>
    </xf>
    <xf numFmtId="0" fontId="72" fillId="0" borderId="24" xfId="169" applyFont="1" applyBorder="1" applyAlignment="1">
      <alignment vertical="center"/>
    </xf>
    <xf numFmtId="0" fontId="72" fillId="0" borderId="24" xfId="169" applyFont="1" applyBorder="1" applyAlignment="1">
      <alignment horizontal="left" vertical="center"/>
    </xf>
    <xf numFmtId="0" fontId="43" fillId="0" borderId="40" xfId="178" applyFont="1" applyBorder="1" applyAlignment="1">
      <alignment horizontal="center" vertical="center"/>
    </xf>
    <xf numFmtId="14" fontId="43" fillId="0" borderId="40" xfId="106" applyNumberFormat="1" applyFont="1" applyBorder="1" applyAlignment="1">
      <alignment horizontal="center" vertical="center"/>
    </xf>
    <xf numFmtId="0" fontId="43" fillId="0" borderId="40" xfId="181" applyFont="1" applyBorder="1" applyAlignment="1">
      <alignment vertical="center"/>
    </xf>
    <xf numFmtId="0" fontId="43" fillId="0" borderId="50" xfId="181" applyFont="1" applyBorder="1" applyAlignment="1">
      <alignment vertical="center"/>
    </xf>
    <xf numFmtId="0" fontId="43" fillId="29" borderId="51" xfId="178" applyFont="1" applyFill="1" applyBorder="1" applyAlignment="1">
      <alignment horizontal="center" vertical="center" wrapText="1"/>
    </xf>
    <xf numFmtId="0" fontId="43" fillId="29" borderId="40" xfId="178" applyFont="1" applyFill="1" applyBorder="1" applyAlignment="1">
      <alignment horizontal="center" vertical="center"/>
    </xf>
    <xf numFmtId="0" fontId="43" fillId="29" borderId="50" xfId="178" applyFont="1" applyFill="1" applyBorder="1" applyAlignment="1">
      <alignment horizontal="center" vertical="center"/>
    </xf>
    <xf numFmtId="14" fontId="44" fillId="0" borderId="0" xfId="169" applyNumberFormat="1" applyFont="1" applyAlignment="1">
      <alignment horizontal="center"/>
    </xf>
    <xf numFmtId="0" fontId="43" fillId="29" borderId="28" xfId="169" applyFont="1" applyFill="1" applyBorder="1" applyAlignment="1">
      <alignment horizontal="center" vertical="center"/>
    </xf>
    <xf numFmtId="0" fontId="43" fillId="29" borderId="30" xfId="169" applyFont="1" applyFill="1" applyBorder="1" applyAlignment="1">
      <alignment horizontal="center" vertical="center"/>
    </xf>
    <xf numFmtId="0" fontId="43" fillId="29" borderId="32" xfId="169" applyFont="1" applyFill="1" applyBorder="1" applyAlignment="1">
      <alignment horizontal="center" vertical="center"/>
    </xf>
    <xf numFmtId="14" fontId="43" fillId="0" borderId="0" xfId="106" applyNumberFormat="1" applyFont="1" applyBorder="1" applyAlignment="1">
      <alignment horizontal="center" vertical="center"/>
    </xf>
    <xf numFmtId="38" fontId="70" fillId="0" borderId="0" xfId="210" applyNumberFormat="1" applyFont="1" applyAlignment="1">
      <alignment horizontal="center" vertical="center"/>
    </xf>
    <xf numFmtId="38" fontId="70" fillId="28" borderId="0" xfId="210" applyNumberFormat="1" applyFont="1" applyFill="1" applyAlignment="1">
      <alignment horizontal="center" vertical="center"/>
    </xf>
    <xf numFmtId="0" fontId="71" fillId="0" borderId="0" xfId="210" applyFont="1" applyAlignment="1">
      <alignment vertical="center"/>
    </xf>
    <xf numFmtId="0" fontId="51" fillId="0" borderId="52" xfId="210" applyFont="1" applyBorder="1"/>
    <xf numFmtId="41" fontId="70" fillId="0" borderId="0" xfId="210" applyNumberFormat="1" applyFont="1" applyAlignment="1">
      <alignment horizontal="left" vertical="center"/>
    </xf>
    <xf numFmtId="178" fontId="71" fillId="0" borderId="0" xfId="210" applyNumberFormat="1" applyFont="1" applyAlignment="1">
      <alignment horizontal="left" vertical="center"/>
    </xf>
    <xf numFmtId="0" fontId="51" fillId="0" borderId="45" xfId="210" applyFont="1" applyBorder="1"/>
    <xf numFmtId="41" fontId="69" fillId="0" borderId="53" xfId="139" applyFont="1" applyBorder="1" applyAlignment="1">
      <alignment horizontal="center" vertical="center"/>
    </xf>
    <xf numFmtId="181" fontId="70" fillId="0" borderId="40" xfId="210" applyNumberFormat="1" applyFont="1" applyBorder="1" applyAlignment="1">
      <alignment horizontal="center" vertical="center"/>
    </xf>
    <xf numFmtId="3" fontId="70" fillId="0" borderId="40" xfId="210" applyNumberFormat="1" applyFont="1" applyBorder="1" applyAlignment="1">
      <alignment horizontal="center" vertical="center"/>
    </xf>
    <xf numFmtId="38" fontId="70" fillId="28" borderId="40" xfId="210" applyNumberFormat="1" applyFont="1" applyFill="1" applyBorder="1" applyAlignment="1">
      <alignment horizontal="center" vertical="center"/>
    </xf>
    <xf numFmtId="3" fontId="70" fillId="0" borderId="42" xfId="210" applyNumberFormat="1" applyFont="1" applyBorder="1" applyAlignment="1">
      <alignment horizontal="center" vertical="center"/>
    </xf>
    <xf numFmtId="181" fontId="70" fillId="0" borderId="42" xfId="210" applyNumberFormat="1" applyFont="1" applyBorder="1" applyAlignment="1">
      <alignment horizontal="center" vertical="center"/>
    </xf>
    <xf numFmtId="0" fontId="43" fillId="0" borderId="55" xfId="181" applyFont="1" applyBorder="1" applyAlignment="1">
      <alignment horizontal="left" vertical="center"/>
    </xf>
    <xf numFmtId="0" fontId="43" fillId="0" borderId="56" xfId="181" applyFont="1" applyBorder="1" applyAlignment="1">
      <alignment horizontal="left" vertical="center"/>
    </xf>
    <xf numFmtId="0" fontId="43" fillId="0" borderId="57" xfId="181" applyFont="1" applyBorder="1" applyAlignment="1">
      <alignment horizontal="left" vertical="center"/>
    </xf>
    <xf numFmtId="0" fontId="67" fillId="0" borderId="58" xfId="210" applyFont="1" applyBorder="1" applyAlignment="1">
      <alignment horizontal="center" vertical="center"/>
    </xf>
    <xf numFmtId="0" fontId="70" fillId="28" borderId="60" xfId="210" applyFont="1" applyFill="1" applyBorder="1" applyAlignment="1">
      <alignment horizontal="center" vertical="center"/>
    </xf>
    <xf numFmtId="0" fontId="51" fillId="0" borderId="21" xfId="210" applyFont="1" applyBorder="1"/>
    <xf numFmtId="193" fontId="70" fillId="0" borderId="0" xfId="210" applyNumberFormat="1" applyFont="1" applyAlignment="1">
      <alignment horizontal="left" vertical="center"/>
    </xf>
    <xf numFmtId="3" fontId="70" fillId="0" borderId="0" xfId="210" applyNumberFormat="1" applyFont="1" applyAlignment="1">
      <alignment horizontal="left" vertical="center"/>
    </xf>
    <xf numFmtId="0" fontId="70" fillId="0" borderId="0" xfId="210" applyFont="1" applyAlignment="1">
      <alignment horizontal="center" vertical="center"/>
    </xf>
    <xf numFmtId="193" fontId="73" fillId="30" borderId="46" xfId="210" quotePrefix="1" applyNumberFormat="1" applyFont="1" applyFill="1" applyBorder="1" applyAlignment="1">
      <alignment horizontal="center" vertical="center"/>
    </xf>
    <xf numFmtId="0" fontId="51" fillId="0" borderId="66" xfId="210" applyFont="1" applyBorder="1"/>
    <xf numFmtId="0" fontId="73" fillId="0" borderId="67" xfId="210" applyFont="1" applyBorder="1" applyAlignment="1">
      <alignment horizontal="left" vertical="center"/>
    </xf>
    <xf numFmtId="0" fontId="73" fillId="0" borderId="4" xfId="210" quotePrefix="1" applyFont="1" applyBorder="1" applyAlignment="1">
      <alignment horizontal="left" vertical="center"/>
    </xf>
    <xf numFmtId="0" fontId="73" fillId="0" borderId="4" xfId="210" applyFont="1" applyBorder="1" applyAlignment="1">
      <alignment horizontal="left" vertical="center"/>
    </xf>
    <xf numFmtId="178" fontId="74" fillId="0" borderId="4" xfId="210" applyNumberFormat="1" applyFont="1" applyBorder="1" applyAlignment="1">
      <alignment horizontal="left" vertical="center"/>
    </xf>
    <xf numFmtId="9" fontId="74" fillId="0" borderId="4" xfId="210" applyNumberFormat="1" applyFont="1" applyBorder="1" applyAlignment="1">
      <alignment horizontal="left" vertical="center"/>
    </xf>
    <xf numFmtId="0" fontId="75" fillId="0" borderId="4" xfId="210" applyFont="1" applyBorder="1"/>
    <xf numFmtId="0" fontId="43" fillId="29" borderId="71" xfId="169" applyFont="1" applyFill="1" applyBorder="1" applyAlignment="1">
      <alignment horizontal="center" vertical="center"/>
    </xf>
    <xf numFmtId="0" fontId="43" fillId="29" borderId="37" xfId="169" applyFont="1" applyFill="1" applyBorder="1" applyAlignment="1">
      <alignment horizontal="center" vertical="center"/>
    </xf>
    <xf numFmtId="0" fontId="43" fillId="29" borderId="72" xfId="169" applyFont="1" applyFill="1" applyBorder="1" applyAlignment="1">
      <alignment horizontal="center" vertical="center"/>
    </xf>
    <xf numFmtId="0" fontId="43" fillId="29" borderId="19" xfId="178" applyFont="1" applyFill="1" applyBorder="1" applyAlignment="1">
      <alignment horizontal="center" vertical="center"/>
    </xf>
    <xf numFmtId="0" fontId="43" fillId="29" borderId="63" xfId="178" applyFont="1" applyFill="1" applyBorder="1" applyAlignment="1">
      <alignment horizontal="center" vertical="center"/>
    </xf>
    <xf numFmtId="0" fontId="68" fillId="0" borderId="35" xfId="210" applyFont="1" applyBorder="1" applyAlignment="1">
      <alignment horizontal="center" vertical="center"/>
    </xf>
    <xf numFmtId="0" fontId="68" fillId="0" borderId="19" xfId="210" applyFont="1" applyBorder="1" applyAlignment="1">
      <alignment horizontal="center" vertical="center"/>
    </xf>
    <xf numFmtId="0" fontId="71" fillId="0" borderId="19" xfId="210" applyFont="1" applyBorder="1" applyAlignment="1">
      <alignment vertical="center"/>
    </xf>
    <xf numFmtId="193" fontId="68" fillId="0" borderId="19" xfId="210" applyNumberFormat="1" applyFont="1" applyBorder="1" applyAlignment="1">
      <alignment horizontal="center" vertical="center"/>
    </xf>
    <xf numFmtId="193" fontId="68" fillId="0" borderId="19" xfId="129" applyNumberFormat="1" applyFont="1" applyBorder="1" applyAlignment="1">
      <alignment horizontal="center" vertical="center"/>
    </xf>
    <xf numFmtId="0" fontId="71" fillId="0" borderId="36" xfId="210" applyFont="1" applyBorder="1" applyAlignment="1">
      <alignment vertical="center"/>
    </xf>
    <xf numFmtId="41" fontId="71" fillId="0" borderId="19" xfId="210" applyNumberFormat="1" applyFont="1" applyBorder="1" applyAlignment="1">
      <alignment vertical="center"/>
    </xf>
    <xf numFmtId="4" fontId="60" fillId="0" borderId="42" xfId="104" applyNumberFormat="1" applyFont="1" applyFill="1" applyBorder="1" applyAlignment="1">
      <alignment horizontal="center" vertical="center"/>
    </xf>
    <xf numFmtId="4" fontId="70" fillId="0" borderId="40" xfId="210" applyNumberFormat="1" applyFont="1" applyBorder="1" applyAlignment="1">
      <alignment horizontal="center" vertical="center"/>
    </xf>
    <xf numFmtId="4" fontId="60" fillId="0" borderId="40" xfId="104" applyNumberFormat="1" applyFont="1" applyFill="1" applyBorder="1" applyAlignment="1">
      <alignment horizontal="center" vertical="center"/>
    </xf>
    <xf numFmtId="3" fontId="70" fillId="0" borderId="53" xfId="210" applyNumberFormat="1" applyFont="1" applyBorder="1" applyAlignment="1">
      <alignment horizontal="center" vertical="center"/>
    </xf>
    <xf numFmtId="4" fontId="60" fillId="0" borderId="53" xfId="104" applyNumberFormat="1" applyFont="1" applyFill="1" applyBorder="1" applyAlignment="1">
      <alignment horizontal="center" vertical="center"/>
    </xf>
    <xf numFmtId="181" fontId="70" fillId="0" borderId="53" xfId="210" applyNumberFormat="1" applyFont="1" applyBorder="1" applyAlignment="1">
      <alignment horizontal="center" vertical="center"/>
    </xf>
    <xf numFmtId="38" fontId="70" fillId="0" borderId="53" xfId="210" applyNumberFormat="1" applyFont="1" applyBorder="1" applyAlignment="1">
      <alignment horizontal="center" vertical="center"/>
    </xf>
    <xf numFmtId="38" fontId="70" fillId="0" borderId="74" xfId="210" applyNumberFormat="1" applyFont="1" applyBorder="1" applyAlignment="1">
      <alignment horizontal="center" vertical="center"/>
    </xf>
    <xf numFmtId="3" fontId="70" fillId="0" borderId="76" xfId="210" applyNumberFormat="1" applyFont="1" applyBorder="1" applyAlignment="1">
      <alignment horizontal="center" vertical="center"/>
    </xf>
    <xf numFmtId="4" fontId="60" fillId="0" borderId="76" xfId="104" applyNumberFormat="1" applyFont="1" applyFill="1" applyBorder="1" applyAlignment="1">
      <alignment horizontal="center" vertical="center"/>
    </xf>
    <xf numFmtId="41" fontId="69" fillId="0" borderId="76" xfId="139" applyFont="1" applyBorder="1" applyAlignment="1">
      <alignment horizontal="center" vertical="center"/>
    </xf>
    <xf numFmtId="181" fontId="70" fillId="0" borderId="76" xfId="210" applyNumberFormat="1" applyFont="1" applyBorder="1" applyAlignment="1">
      <alignment horizontal="center" vertical="center"/>
    </xf>
    <xf numFmtId="193" fontId="70" fillId="0" borderId="76" xfId="129" applyNumberFormat="1" applyFont="1" applyBorder="1" applyAlignment="1">
      <alignment horizontal="center" vertical="center"/>
    </xf>
    <xf numFmtId="38" fontId="70" fillId="0" borderId="76" xfId="210" applyNumberFormat="1" applyFont="1" applyBorder="1" applyAlignment="1">
      <alignment horizontal="center" vertical="center"/>
    </xf>
    <xf numFmtId="38" fontId="70" fillId="0" borderId="77" xfId="210" applyNumberFormat="1" applyFont="1" applyBorder="1" applyAlignment="1">
      <alignment horizontal="center" vertical="center"/>
    </xf>
    <xf numFmtId="193" fontId="70" fillId="0" borderId="79" xfId="129" applyNumberFormat="1" applyFont="1" applyBorder="1" applyAlignment="1">
      <alignment horizontal="center" vertical="center"/>
    </xf>
    <xf numFmtId="0" fontId="70" fillId="28" borderId="70" xfId="210" applyFont="1" applyFill="1" applyBorder="1" applyAlignment="1">
      <alignment horizontal="center" vertical="center"/>
    </xf>
    <xf numFmtId="38" fontId="70" fillId="28" borderId="43" xfId="210" applyNumberFormat="1" applyFont="1" applyFill="1" applyBorder="1" applyAlignment="1">
      <alignment horizontal="center" vertical="center"/>
    </xf>
    <xf numFmtId="38" fontId="70" fillId="28" borderId="65" xfId="210" applyNumberFormat="1" applyFont="1" applyFill="1" applyBorder="1" applyAlignment="1">
      <alignment horizontal="center" vertical="center"/>
    </xf>
    <xf numFmtId="9" fontId="51" fillId="0" borderId="1" xfId="210" applyNumberFormat="1" applyFont="1" applyBorder="1" applyAlignment="1">
      <alignment horizontal="center" vertical="center"/>
    </xf>
    <xf numFmtId="41" fontId="69" fillId="0" borderId="80" xfId="139" applyFont="1" applyBorder="1" applyAlignment="1">
      <alignment horizontal="center" vertical="center"/>
    </xf>
    <xf numFmtId="41" fontId="69" fillId="0" borderId="81" xfId="139" applyFont="1" applyBorder="1" applyAlignment="1">
      <alignment horizontal="center" vertical="center"/>
    </xf>
    <xf numFmtId="41" fontId="69" fillId="0" borderId="3" xfId="139" applyFont="1" applyBorder="1" applyAlignment="1">
      <alignment horizontal="center" vertical="center"/>
    </xf>
    <xf numFmtId="41" fontId="69" fillId="0" borderId="38" xfId="139" applyFont="1" applyBorder="1" applyAlignment="1">
      <alignment horizontal="center" vertical="center"/>
    </xf>
    <xf numFmtId="41" fontId="69" fillId="0" borderId="3" xfId="137" applyFont="1" applyBorder="1" applyAlignment="1">
      <alignment horizontal="center" vertical="center"/>
    </xf>
    <xf numFmtId="41" fontId="69" fillId="0" borderId="82" xfId="139" applyFont="1" applyBorder="1" applyAlignment="1">
      <alignment horizontal="center" vertical="center"/>
    </xf>
    <xf numFmtId="41" fontId="69" fillId="0" borderId="83" xfId="139" applyFont="1" applyBorder="1" applyAlignment="1">
      <alignment horizontal="center" vertical="center"/>
    </xf>
    <xf numFmtId="41" fontId="69" fillId="0" borderId="84" xfId="139" applyFont="1" applyBorder="1" applyAlignment="1">
      <alignment horizontal="center" vertical="center"/>
    </xf>
    <xf numFmtId="41" fontId="69" fillId="0" borderId="85" xfId="139" applyFont="1" applyBorder="1" applyAlignment="1">
      <alignment horizontal="center" vertical="center"/>
    </xf>
    <xf numFmtId="41" fontId="69" fillId="0" borderId="19" xfId="139" applyFont="1" applyBorder="1" applyAlignment="1">
      <alignment horizontal="center" vertical="center"/>
    </xf>
    <xf numFmtId="41" fontId="69" fillId="0" borderId="36" xfId="139" applyFont="1" applyBorder="1" applyAlignment="1">
      <alignment horizontal="center" vertical="center"/>
    </xf>
    <xf numFmtId="0" fontId="70" fillId="0" borderId="71" xfId="210" applyFont="1" applyBorder="1" applyAlignment="1">
      <alignment horizontal="center" vertical="center"/>
    </xf>
    <xf numFmtId="0" fontId="70" fillId="0" borderId="37" xfId="210" applyFont="1" applyBorder="1" applyAlignment="1">
      <alignment horizontal="center" vertical="center"/>
    </xf>
    <xf numFmtId="0" fontId="70" fillId="28" borderId="37" xfId="210" applyFont="1" applyFill="1" applyBorder="1" applyAlignment="1">
      <alignment horizontal="center" vertical="center"/>
    </xf>
    <xf numFmtId="0" fontId="70" fillId="0" borderId="72" xfId="210" applyFont="1" applyBorder="1" applyAlignment="1">
      <alignment horizontal="center" vertical="center"/>
    </xf>
    <xf numFmtId="41" fontId="69" fillId="0" borderId="86" xfId="139" applyFont="1" applyBorder="1" applyAlignment="1">
      <alignment horizontal="center" vertical="center"/>
    </xf>
    <xf numFmtId="41" fontId="69" fillId="0" borderId="87" xfId="139" applyFont="1" applyBorder="1" applyAlignment="1">
      <alignment horizontal="center" vertical="center"/>
    </xf>
    <xf numFmtId="0" fontId="70" fillId="0" borderId="88" xfId="210" applyFont="1" applyBorder="1" applyAlignment="1">
      <alignment horizontal="center" vertical="center"/>
    </xf>
    <xf numFmtId="41" fontId="69" fillId="0" borderId="27" xfId="139" applyFont="1" applyBorder="1" applyAlignment="1">
      <alignment horizontal="center" vertical="center"/>
    </xf>
    <xf numFmtId="41" fontId="69" fillId="0" borderId="89" xfId="139" applyFont="1" applyBorder="1" applyAlignment="1">
      <alignment horizontal="center" vertical="center"/>
    </xf>
    <xf numFmtId="0" fontId="70" fillId="28" borderId="90" xfId="210" applyFont="1" applyFill="1" applyBorder="1" applyAlignment="1">
      <alignment horizontal="center" vertical="center"/>
    </xf>
    <xf numFmtId="0" fontId="70" fillId="0" borderId="91" xfId="210" applyFont="1" applyBorder="1" applyAlignment="1">
      <alignment horizontal="center" vertical="center"/>
    </xf>
    <xf numFmtId="0" fontId="70" fillId="0" borderId="90" xfId="210" applyFont="1" applyBorder="1" applyAlignment="1">
      <alignment horizontal="center" vertical="center"/>
    </xf>
    <xf numFmtId="0" fontId="70" fillId="0" borderId="35" xfId="210" applyFont="1" applyBorder="1" applyAlignment="1">
      <alignment horizontal="center" vertical="center"/>
    </xf>
    <xf numFmtId="0" fontId="70" fillId="28" borderId="92" xfId="210" applyFont="1" applyFill="1" applyBorder="1" applyAlignment="1">
      <alignment horizontal="center" vertical="center"/>
    </xf>
    <xf numFmtId="38" fontId="70" fillId="28" borderId="93" xfId="210" applyNumberFormat="1" applyFont="1" applyFill="1" applyBorder="1" applyAlignment="1">
      <alignment horizontal="center" vertical="center"/>
    </xf>
    <xf numFmtId="38" fontId="70" fillId="28" borderId="94" xfId="210" applyNumberFormat="1" applyFont="1" applyFill="1" applyBorder="1" applyAlignment="1">
      <alignment horizontal="center" vertical="center"/>
    </xf>
    <xf numFmtId="0" fontId="70" fillId="28" borderId="95" xfId="210" applyFont="1" applyFill="1" applyBorder="1" applyAlignment="1">
      <alignment horizontal="center" vertical="center"/>
    </xf>
    <xf numFmtId="201" fontId="51" fillId="0" borderId="0" xfId="210" applyNumberFormat="1" applyFont="1"/>
    <xf numFmtId="43" fontId="51" fillId="0" borderId="0" xfId="210" applyNumberFormat="1" applyFont="1"/>
    <xf numFmtId="0" fontId="69" fillId="0" borderId="155" xfId="178" applyFont="1" applyBorder="1" applyAlignment="1">
      <alignment horizontal="center" vertical="center"/>
    </xf>
    <xf numFmtId="0" fontId="69" fillId="0" borderId="156" xfId="178" applyFont="1" applyBorder="1" applyAlignment="1">
      <alignment horizontal="center" vertical="center"/>
    </xf>
    <xf numFmtId="0" fontId="69" fillId="0" borderId="157" xfId="178" applyFont="1" applyBorder="1" applyAlignment="1">
      <alignment horizontal="center" vertical="center"/>
    </xf>
    <xf numFmtId="0" fontId="69" fillId="0" borderId="158" xfId="178" applyFont="1" applyBorder="1" applyAlignment="1">
      <alignment horizontal="center" vertical="center"/>
    </xf>
    <xf numFmtId="3" fontId="70" fillId="0" borderId="98" xfId="210" applyNumberFormat="1" applyFont="1" applyBorder="1" applyAlignment="1">
      <alignment horizontal="center" vertical="center"/>
    </xf>
    <xf numFmtId="4" fontId="60" fillId="0" borderId="98" xfId="104" applyNumberFormat="1" applyFont="1" applyFill="1" applyBorder="1" applyAlignment="1">
      <alignment horizontal="center" vertical="center"/>
    </xf>
    <xf numFmtId="41" fontId="69" fillId="0" borderId="98" xfId="139" applyFont="1" applyBorder="1" applyAlignment="1">
      <alignment horizontal="center" vertical="center"/>
    </xf>
    <xf numFmtId="181" fontId="70" fillId="0" borderId="98" xfId="210" applyNumberFormat="1" applyFont="1" applyBorder="1" applyAlignment="1">
      <alignment horizontal="center" vertical="center"/>
    </xf>
    <xf numFmtId="193" fontId="70" fillId="0" borderId="98" xfId="129" applyNumberFormat="1" applyFont="1" applyBorder="1" applyAlignment="1">
      <alignment horizontal="center" vertical="center"/>
    </xf>
    <xf numFmtId="38" fontId="70" fillId="0" borderId="98" xfId="210" applyNumberFormat="1" applyFont="1" applyBorder="1" applyAlignment="1">
      <alignment horizontal="center" vertical="center"/>
    </xf>
    <xf numFmtId="38" fontId="70" fillId="0" borderId="99" xfId="210" applyNumberFormat="1" applyFont="1" applyBorder="1" applyAlignment="1">
      <alignment horizontal="center" vertical="center"/>
    </xf>
    <xf numFmtId="0" fontId="69" fillId="0" borderId="159" xfId="178" applyFont="1" applyBorder="1" applyAlignment="1">
      <alignment horizontal="center" vertical="center"/>
    </xf>
    <xf numFmtId="3" fontId="70" fillId="0" borderId="100" xfId="210" applyNumberFormat="1" applyFont="1" applyBorder="1" applyAlignment="1">
      <alignment horizontal="center" vertical="center"/>
    </xf>
    <xf numFmtId="4" fontId="60" fillId="0" borderId="100" xfId="104" applyNumberFormat="1" applyFont="1" applyFill="1" applyBorder="1" applyAlignment="1">
      <alignment horizontal="center" vertical="center"/>
    </xf>
    <xf numFmtId="41" fontId="69" fillId="0" borderId="100" xfId="139" applyFont="1" applyBorder="1" applyAlignment="1">
      <alignment horizontal="center" vertical="center"/>
    </xf>
    <xf numFmtId="181" fontId="70" fillId="0" borderId="100" xfId="210" applyNumberFormat="1" applyFont="1" applyBorder="1" applyAlignment="1">
      <alignment horizontal="center" vertical="center"/>
    </xf>
    <xf numFmtId="193" fontId="70" fillId="0" borderId="100" xfId="129" applyNumberFormat="1" applyFont="1" applyBorder="1" applyAlignment="1">
      <alignment horizontal="center" vertical="center"/>
    </xf>
    <xf numFmtId="38" fontId="70" fillId="0" borderId="100" xfId="210" applyNumberFormat="1" applyFont="1" applyBorder="1" applyAlignment="1">
      <alignment horizontal="center" vertical="center"/>
    </xf>
    <xf numFmtId="38" fontId="70" fillId="0" borderId="101" xfId="210" applyNumberFormat="1" applyFont="1" applyBorder="1" applyAlignment="1">
      <alignment horizontal="center" vertical="center"/>
    </xf>
    <xf numFmtId="0" fontId="69" fillId="0" borderId="160" xfId="178" applyFont="1" applyBorder="1" applyAlignment="1">
      <alignment horizontal="center" vertical="center"/>
    </xf>
    <xf numFmtId="3" fontId="70" fillId="0" borderId="102" xfId="210" applyNumberFormat="1" applyFont="1" applyBorder="1" applyAlignment="1">
      <alignment horizontal="center" vertical="center"/>
    </xf>
    <xf numFmtId="4" fontId="60" fillId="0" borderId="102" xfId="104" applyNumberFormat="1" applyFont="1" applyFill="1" applyBorder="1" applyAlignment="1">
      <alignment horizontal="center" vertical="center"/>
    </xf>
    <xf numFmtId="41" fontId="69" fillId="0" borderId="102" xfId="139" applyFont="1" applyBorder="1" applyAlignment="1">
      <alignment horizontal="center" vertical="center"/>
    </xf>
    <xf numFmtId="181" fontId="70" fillId="0" borderId="102" xfId="210" applyNumberFormat="1" applyFont="1" applyBorder="1" applyAlignment="1">
      <alignment horizontal="center" vertical="center"/>
    </xf>
    <xf numFmtId="193" fontId="70" fillId="0" borderId="102" xfId="129" applyNumberFormat="1" applyFont="1" applyBorder="1" applyAlignment="1">
      <alignment horizontal="center" vertical="center"/>
    </xf>
    <xf numFmtId="38" fontId="70" fillId="0" borderId="102" xfId="210" applyNumberFormat="1" applyFont="1" applyBorder="1" applyAlignment="1">
      <alignment horizontal="center" vertical="center"/>
    </xf>
    <xf numFmtId="38" fontId="70" fillId="0" borderId="103" xfId="210" applyNumberFormat="1" applyFont="1" applyBorder="1" applyAlignment="1">
      <alignment horizontal="center" vertical="center"/>
    </xf>
    <xf numFmtId="4" fontId="70" fillId="0" borderId="53" xfId="210" applyNumberFormat="1" applyFont="1" applyBorder="1" applyAlignment="1">
      <alignment horizontal="center" vertical="center"/>
    </xf>
    <xf numFmtId="4" fontId="70" fillId="0" borderId="98" xfId="210" applyNumberFormat="1" applyFont="1" applyBorder="1" applyAlignment="1">
      <alignment horizontal="center" vertical="center"/>
    </xf>
    <xf numFmtId="4" fontId="70" fillId="0" borderId="100" xfId="210" applyNumberFormat="1" applyFont="1" applyBorder="1" applyAlignment="1">
      <alignment horizontal="center" vertical="center"/>
    </xf>
    <xf numFmtId="41" fontId="69" fillId="0" borderId="42" xfId="137" applyFont="1" applyBorder="1" applyAlignment="1">
      <alignment horizontal="center" vertical="center"/>
    </xf>
    <xf numFmtId="0" fontId="69" fillId="0" borderId="161" xfId="178" applyFont="1" applyBorder="1" applyAlignment="1">
      <alignment horizontal="center" vertical="center"/>
    </xf>
    <xf numFmtId="3" fontId="70" fillId="0" borderId="104" xfId="210" applyNumberFormat="1" applyFont="1" applyBorder="1" applyAlignment="1">
      <alignment horizontal="center" vertical="center"/>
    </xf>
    <xf numFmtId="4" fontId="60" fillId="0" borderId="104" xfId="104" applyNumberFormat="1" applyFont="1" applyFill="1" applyBorder="1" applyAlignment="1">
      <alignment horizontal="center" vertical="center"/>
    </xf>
    <xf numFmtId="41" fontId="69" fillId="0" borderId="104" xfId="139" applyFont="1" applyBorder="1" applyAlignment="1">
      <alignment horizontal="center" vertical="center"/>
    </xf>
    <xf numFmtId="181" fontId="70" fillId="0" borderId="104" xfId="210" applyNumberFormat="1" applyFont="1" applyBorder="1" applyAlignment="1">
      <alignment horizontal="center" vertical="center"/>
    </xf>
    <xf numFmtId="193" fontId="70" fillId="0" borderId="104" xfId="129" applyNumberFormat="1" applyFont="1" applyBorder="1" applyAlignment="1">
      <alignment horizontal="center" vertical="center"/>
    </xf>
    <xf numFmtId="38" fontId="70" fillId="0" borderId="104" xfId="210" applyNumberFormat="1" applyFont="1" applyBorder="1" applyAlignment="1">
      <alignment horizontal="center" vertical="center"/>
    </xf>
    <xf numFmtId="38" fontId="70" fillId="0" borderId="105" xfId="210" applyNumberFormat="1" applyFont="1" applyBorder="1" applyAlignment="1">
      <alignment horizontal="center" vertical="center"/>
    </xf>
    <xf numFmtId="4" fontId="70" fillId="0" borderId="76" xfId="210" applyNumberFormat="1" applyFont="1" applyBorder="1" applyAlignment="1">
      <alignment horizontal="center" vertical="center"/>
    </xf>
    <xf numFmtId="4" fontId="70" fillId="0" borderId="104" xfId="210" applyNumberFormat="1" applyFont="1" applyBorder="1" applyAlignment="1">
      <alignment horizontal="center" vertical="center"/>
    </xf>
    <xf numFmtId="4" fontId="70" fillId="0" borderId="102" xfId="210" applyNumberFormat="1" applyFont="1" applyBorder="1" applyAlignment="1">
      <alignment horizontal="center" vertical="center"/>
    </xf>
    <xf numFmtId="4" fontId="70" fillId="0" borderId="42" xfId="210" applyNumberFormat="1" applyFont="1" applyBorder="1" applyAlignment="1">
      <alignment horizontal="center" vertical="center"/>
    </xf>
    <xf numFmtId="41" fontId="69" fillId="0" borderId="99" xfId="139" applyFont="1" applyBorder="1" applyAlignment="1">
      <alignment horizontal="center" vertical="center"/>
    </xf>
    <xf numFmtId="41" fontId="69" fillId="0" borderId="101" xfId="139" applyFont="1" applyBorder="1" applyAlignment="1">
      <alignment horizontal="center" vertical="center"/>
    </xf>
    <xf numFmtId="41" fontId="69" fillId="0" borderId="103" xfId="139" applyFont="1" applyBorder="1" applyAlignment="1">
      <alignment horizontal="center" vertical="center"/>
    </xf>
    <xf numFmtId="41" fontId="69" fillId="0" borderId="98" xfId="137" applyFont="1" applyBorder="1" applyAlignment="1">
      <alignment horizontal="center" vertical="center"/>
    </xf>
    <xf numFmtId="0" fontId="69" fillId="0" borderId="162" xfId="178" applyFont="1" applyBorder="1" applyAlignment="1">
      <alignment horizontal="center" vertical="center"/>
    </xf>
    <xf numFmtId="0" fontId="69" fillId="0" borderId="163" xfId="178" applyFont="1" applyBorder="1" applyAlignment="1">
      <alignment horizontal="center" vertical="center"/>
    </xf>
    <xf numFmtId="0" fontId="69" fillId="0" borderId="106" xfId="178" applyFont="1" applyBorder="1" applyAlignment="1">
      <alignment horizontal="center" vertical="center"/>
    </xf>
    <xf numFmtId="0" fontId="69" fillId="0" borderId="107" xfId="178" applyFont="1" applyBorder="1" applyAlignment="1">
      <alignment horizontal="center" vertical="center"/>
    </xf>
    <xf numFmtId="0" fontId="69" fillId="0" borderId="108" xfId="178" applyFont="1" applyBorder="1" applyAlignment="1">
      <alignment horizontal="center" vertical="center"/>
    </xf>
    <xf numFmtId="0" fontId="69" fillId="0" borderId="109" xfId="178" applyFont="1" applyBorder="1" applyAlignment="1">
      <alignment horizontal="center" vertical="center"/>
    </xf>
    <xf numFmtId="41" fontId="69" fillId="0" borderId="110" xfId="139" applyFont="1" applyBorder="1" applyAlignment="1">
      <alignment horizontal="center" vertical="center"/>
    </xf>
    <xf numFmtId="41" fontId="69" fillId="0" borderId="111" xfId="139" applyFont="1" applyBorder="1" applyAlignment="1">
      <alignment horizontal="center" vertical="center"/>
    </xf>
    <xf numFmtId="0" fontId="70" fillId="28" borderId="35" xfId="210" applyFont="1" applyFill="1" applyBorder="1" applyAlignment="1">
      <alignment horizontal="center" vertical="center"/>
    </xf>
    <xf numFmtId="0" fontId="70" fillId="28" borderId="164" xfId="210" applyFont="1" applyFill="1" applyBorder="1" applyAlignment="1">
      <alignment horizontal="center" vertical="center"/>
    </xf>
    <xf numFmtId="38" fontId="70" fillId="28" borderId="18" xfId="210" applyNumberFormat="1" applyFont="1" applyFill="1" applyBorder="1" applyAlignment="1">
      <alignment horizontal="center" vertical="center"/>
    </xf>
    <xf numFmtId="38" fontId="70" fillId="28" borderId="165" xfId="210" applyNumberFormat="1" applyFont="1" applyFill="1" applyBorder="1" applyAlignment="1">
      <alignment horizontal="center" vertical="center"/>
    </xf>
    <xf numFmtId="0" fontId="69" fillId="0" borderId="168" xfId="178" applyFont="1" applyBorder="1" applyAlignment="1">
      <alignment horizontal="center" vertical="center"/>
    </xf>
    <xf numFmtId="3" fontId="70" fillId="0" borderId="169" xfId="210" applyNumberFormat="1" applyFont="1" applyBorder="1" applyAlignment="1">
      <alignment horizontal="center" vertical="center"/>
    </xf>
    <xf numFmtId="4" fontId="70" fillId="0" borderId="169" xfId="210" applyNumberFormat="1" applyFont="1" applyBorder="1" applyAlignment="1">
      <alignment horizontal="center" vertical="center"/>
    </xf>
    <xf numFmtId="4" fontId="60" fillId="0" borderId="169" xfId="104" applyNumberFormat="1" applyFont="1" applyFill="1" applyBorder="1" applyAlignment="1">
      <alignment horizontal="center" vertical="center"/>
    </xf>
    <xf numFmtId="41" fontId="69" fillId="0" borderId="169" xfId="139" applyFont="1" applyBorder="1" applyAlignment="1">
      <alignment horizontal="center" vertical="center"/>
    </xf>
    <xf numFmtId="181" fontId="70" fillId="0" borderId="169" xfId="210" applyNumberFormat="1" applyFont="1" applyBorder="1" applyAlignment="1">
      <alignment horizontal="center" vertical="center"/>
    </xf>
    <xf numFmtId="193" fontId="70" fillId="0" borderId="169" xfId="129" applyNumberFormat="1" applyFont="1" applyBorder="1" applyAlignment="1">
      <alignment horizontal="center" vertical="center"/>
    </xf>
    <xf numFmtId="38" fontId="70" fillId="0" borderId="169" xfId="210" applyNumberFormat="1" applyFont="1" applyBorder="1" applyAlignment="1">
      <alignment horizontal="center" vertical="center"/>
    </xf>
    <xf numFmtId="38" fontId="70" fillId="0" borderId="170" xfId="210" applyNumberFormat="1" applyFont="1" applyBorder="1" applyAlignment="1">
      <alignment horizontal="center" vertical="center"/>
    </xf>
    <xf numFmtId="0" fontId="69" fillId="0" borderId="171" xfId="178" applyFont="1" applyBorder="1" applyAlignment="1">
      <alignment horizontal="center" vertical="center"/>
    </xf>
    <xf numFmtId="3" fontId="70" fillId="0" borderId="172" xfId="210" applyNumberFormat="1" applyFont="1" applyBorder="1" applyAlignment="1">
      <alignment horizontal="center" vertical="center"/>
    </xf>
    <xf numFmtId="4" fontId="70" fillId="0" borderId="172" xfId="210" applyNumberFormat="1" applyFont="1" applyBorder="1" applyAlignment="1">
      <alignment horizontal="center" vertical="center"/>
    </xf>
    <xf numFmtId="4" fontId="60" fillId="0" borderId="172" xfId="104" applyNumberFormat="1" applyFont="1" applyFill="1" applyBorder="1" applyAlignment="1">
      <alignment horizontal="center" vertical="center"/>
    </xf>
    <xf numFmtId="41" fontId="69" fillId="0" borderId="172" xfId="139" applyFont="1" applyBorder="1" applyAlignment="1">
      <alignment horizontal="center" vertical="center"/>
    </xf>
    <xf numFmtId="181" fontId="70" fillId="0" borderId="172" xfId="210" applyNumberFormat="1" applyFont="1" applyBorder="1" applyAlignment="1">
      <alignment horizontal="center" vertical="center"/>
    </xf>
    <xf numFmtId="193" fontId="70" fillId="0" borderId="172" xfId="129" applyNumberFormat="1" applyFont="1" applyBorder="1" applyAlignment="1">
      <alignment horizontal="center" vertical="center"/>
    </xf>
    <xf numFmtId="38" fontId="70" fillId="0" borderId="172" xfId="210" applyNumberFormat="1" applyFont="1" applyBorder="1" applyAlignment="1">
      <alignment horizontal="center" vertical="center"/>
    </xf>
    <xf numFmtId="38" fontId="70" fillId="0" borderId="173" xfId="210" applyNumberFormat="1" applyFont="1" applyBorder="1" applyAlignment="1">
      <alignment horizontal="center" vertical="center"/>
    </xf>
    <xf numFmtId="0" fontId="69" fillId="0" borderId="174" xfId="178" applyFont="1" applyBorder="1" applyAlignment="1">
      <alignment horizontal="center" vertical="center"/>
    </xf>
    <xf numFmtId="3" fontId="70" fillId="0" borderId="175" xfId="210" applyNumberFormat="1" applyFont="1" applyBorder="1" applyAlignment="1">
      <alignment horizontal="center" vertical="center"/>
    </xf>
    <xf numFmtId="4" fontId="70" fillId="0" borderId="175" xfId="210" applyNumberFormat="1" applyFont="1" applyBorder="1" applyAlignment="1">
      <alignment horizontal="center" vertical="center"/>
    </xf>
    <xf numFmtId="4" fontId="60" fillId="0" borderId="175" xfId="104" applyNumberFormat="1" applyFont="1" applyFill="1" applyBorder="1" applyAlignment="1">
      <alignment horizontal="center" vertical="center"/>
    </xf>
    <xf numFmtId="41" fontId="69" fillId="0" borderId="175" xfId="139" applyFont="1" applyBorder="1" applyAlignment="1">
      <alignment horizontal="center" vertical="center"/>
    </xf>
    <xf numFmtId="181" fontId="70" fillId="0" borderId="175" xfId="210" applyNumberFormat="1" applyFont="1" applyBorder="1" applyAlignment="1">
      <alignment horizontal="center" vertical="center"/>
    </xf>
    <xf numFmtId="193" fontId="70" fillId="0" borderId="175" xfId="129" applyNumberFormat="1" applyFont="1" applyBorder="1" applyAlignment="1">
      <alignment horizontal="center" vertical="center"/>
    </xf>
    <xf numFmtId="38" fontId="70" fillId="0" borderId="175" xfId="210" applyNumberFormat="1" applyFont="1" applyBorder="1" applyAlignment="1">
      <alignment horizontal="center" vertical="center"/>
    </xf>
    <xf numFmtId="38" fontId="70" fillId="0" borderId="176" xfId="210" applyNumberFormat="1" applyFont="1" applyBorder="1" applyAlignment="1">
      <alignment horizontal="center" vertical="center"/>
    </xf>
    <xf numFmtId="0" fontId="69" fillId="0" borderId="177" xfId="178" applyFont="1" applyBorder="1" applyAlignment="1">
      <alignment horizontal="center" vertical="center"/>
    </xf>
    <xf numFmtId="3" fontId="70" fillId="0" borderId="178" xfId="210" applyNumberFormat="1" applyFont="1" applyBorder="1" applyAlignment="1">
      <alignment horizontal="center" vertical="center"/>
    </xf>
    <xf numFmtId="4" fontId="70" fillId="0" borderId="178" xfId="210" applyNumberFormat="1" applyFont="1" applyBorder="1" applyAlignment="1">
      <alignment horizontal="center" vertical="center"/>
    </xf>
    <xf numFmtId="4" fontId="60" fillId="0" borderId="178" xfId="104" applyNumberFormat="1" applyFont="1" applyFill="1" applyBorder="1" applyAlignment="1">
      <alignment horizontal="center" vertical="center"/>
    </xf>
    <xf numFmtId="41" fontId="69" fillId="0" borderId="178" xfId="139" applyFont="1" applyBorder="1" applyAlignment="1">
      <alignment horizontal="center" vertical="center"/>
    </xf>
    <xf numFmtId="181" fontId="70" fillId="0" borderId="178" xfId="210" applyNumberFormat="1" applyFont="1" applyBorder="1" applyAlignment="1">
      <alignment horizontal="center" vertical="center"/>
    </xf>
    <xf numFmtId="193" fontId="70" fillId="0" borderId="178" xfId="129" applyNumberFormat="1" applyFont="1" applyBorder="1" applyAlignment="1">
      <alignment horizontal="center" vertical="center"/>
    </xf>
    <xf numFmtId="38" fontId="70" fillId="0" borderId="178" xfId="210" applyNumberFormat="1" applyFont="1" applyBorder="1" applyAlignment="1">
      <alignment horizontal="center" vertical="center"/>
    </xf>
    <xf numFmtId="38" fontId="70" fillId="0" borderId="179" xfId="210" applyNumberFormat="1" applyFont="1" applyBorder="1" applyAlignment="1">
      <alignment horizontal="center" vertical="center"/>
    </xf>
    <xf numFmtId="0" fontId="69" fillId="0" borderId="71" xfId="178" applyFont="1" applyBorder="1" applyAlignment="1">
      <alignment horizontal="center" vertical="center"/>
    </xf>
    <xf numFmtId="0" fontId="69" fillId="0" borderId="37" xfId="178" applyFont="1" applyBorder="1" applyAlignment="1">
      <alignment horizontal="center" vertical="center"/>
    </xf>
    <xf numFmtId="0" fontId="69" fillId="0" borderId="72" xfId="178" applyFont="1" applyBorder="1" applyAlignment="1">
      <alignment horizontal="center" vertical="center"/>
    </xf>
    <xf numFmtId="181" fontId="70" fillId="0" borderId="3" xfId="210" applyNumberFormat="1" applyFont="1" applyBorder="1" applyAlignment="1">
      <alignment horizontal="center" vertical="center"/>
    </xf>
    <xf numFmtId="181" fontId="70" fillId="0" borderId="86" xfId="210" applyNumberFormat="1" applyFont="1" applyBorder="1" applyAlignment="1">
      <alignment horizontal="center" vertical="center"/>
    </xf>
    <xf numFmtId="0" fontId="69" fillId="0" borderId="180" xfId="178" applyFont="1" applyBorder="1" applyAlignment="1">
      <alignment horizontal="center" vertical="center"/>
    </xf>
    <xf numFmtId="3" fontId="70" fillId="0" borderId="181" xfId="210" applyNumberFormat="1" applyFont="1" applyBorder="1" applyAlignment="1">
      <alignment horizontal="center" vertical="center"/>
    </xf>
    <xf numFmtId="4" fontId="70" fillId="0" borderId="181" xfId="210" applyNumberFormat="1" applyFont="1" applyBorder="1" applyAlignment="1">
      <alignment horizontal="center" vertical="center"/>
    </xf>
    <xf numFmtId="4" fontId="60" fillId="0" borderId="181" xfId="104" applyNumberFormat="1" applyFont="1" applyFill="1" applyBorder="1" applyAlignment="1">
      <alignment horizontal="center" vertical="center"/>
    </xf>
    <xf numFmtId="41" fontId="69" fillId="0" borderId="181" xfId="139" applyFont="1" applyBorder="1" applyAlignment="1">
      <alignment horizontal="center" vertical="center"/>
    </xf>
    <xf numFmtId="181" fontId="70" fillId="0" borderId="181" xfId="210" applyNumberFormat="1" applyFont="1" applyBorder="1" applyAlignment="1">
      <alignment horizontal="center" vertical="center"/>
    </xf>
    <xf numFmtId="193" fontId="70" fillId="0" borderId="181" xfId="129" applyNumberFormat="1" applyFont="1" applyBorder="1" applyAlignment="1">
      <alignment horizontal="center" vertical="center"/>
    </xf>
    <xf numFmtId="38" fontId="70" fillId="0" borderId="181" xfId="210" applyNumberFormat="1" applyFont="1" applyBorder="1" applyAlignment="1">
      <alignment horizontal="center" vertical="center"/>
    </xf>
    <xf numFmtId="38" fontId="70" fillId="0" borderId="182" xfId="210" applyNumberFormat="1" applyFont="1" applyBorder="1" applyAlignment="1">
      <alignment horizontal="center" vertical="center"/>
    </xf>
    <xf numFmtId="0" fontId="69" fillId="0" borderId="183" xfId="178" applyFont="1" applyBorder="1" applyAlignment="1">
      <alignment horizontal="center" vertical="center"/>
    </xf>
    <xf numFmtId="3" fontId="70" fillId="0" borderId="184" xfId="210" applyNumberFormat="1" applyFont="1" applyBorder="1" applyAlignment="1">
      <alignment horizontal="center" vertical="center"/>
    </xf>
    <xf numFmtId="4" fontId="70" fillId="0" borderId="184" xfId="210" applyNumberFormat="1" applyFont="1" applyBorder="1" applyAlignment="1">
      <alignment horizontal="center" vertical="center"/>
    </xf>
    <xf numFmtId="4" fontId="60" fillId="0" borderId="184" xfId="104" applyNumberFormat="1" applyFont="1" applyFill="1" applyBorder="1" applyAlignment="1">
      <alignment horizontal="center" vertical="center"/>
    </xf>
    <xf numFmtId="41" fontId="69" fillId="0" borderId="184" xfId="139" applyFont="1" applyBorder="1" applyAlignment="1">
      <alignment horizontal="center" vertical="center"/>
    </xf>
    <xf numFmtId="181" fontId="70" fillId="0" borderId="184" xfId="210" applyNumberFormat="1" applyFont="1" applyBorder="1" applyAlignment="1">
      <alignment horizontal="center" vertical="center"/>
    </xf>
    <xf numFmtId="193" fontId="70" fillId="0" borderId="184" xfId="129" applyNumberFormat="1" applyFont="1" applyBorder="1" applyAlignment="1">
      <alignment horizontal="center" vertical="center"/>
    </xf>
    <xf numFmtId="38" fontId="70" fillId="0" borderId="184" xfId="210" applyNumberFormat="1" applyFont="1" applyBorder="1" applyAlignment="1">
      <alignment horizontal="center" vertical="center"/>
    </xf>
    <xf numFmtId="38" fontId="70" fillId="0" borderId="185" xfId="210" applyNumberFormat="1" applyFont="1" applyBorder="1" applyAlignment="1">
      <alignment horizontal="center" vertical="center"/>
    </xf>
    <xf numFmtId="0" fontId="69" fillId="0" borderId="186" xfId="178" applyFont="1" applyBorder="1" applyAlignment="1">
      <alignment horizontal="center" vertical="center"/>
    </xf>
    <xf numFmtId="3" fontId="70" fillId="0" borderId="187" xfId="210" applyNumberFormat="1" applyFont="1" applyBorder="1" applyAlignment="1">
      <alignment horizontal="center" vertical="center"/>
    </xf>
    <xf numFmtId="4" fontId="70" fillId="0" borderId="187" xfId="210" applyNumberFormat="1" applyFont="1" applyBorder="1" applyAlignment="1">
      <alignment horizontal="center" vertical="center"/>
    </xf>
    <xf numFmtId="4" fontId="60" fillId="0" borderId="187" xfId="104" applyNumberFormat="1" applyFont="1" applyFill="1" applyBorder="1" applyAlignment="1">
      <alignment horizontal="center" vertical="center"/>
    </xf>
    <xf numFmtId="41" fontId="69" fillId="0" borderId="187" xfId="139" applyFont="1" applyBorder="1" applyAlignment="1">
      <alignment horizontal="center" vertical="center"/>
    </xf>
    <xf numFmtId="181" fontId="70" fillId="0" borderId="187" xfId="210" applyNumberFormat="1" applyFont="1" applyBorder="1" applyAlignment="1">
      <alignment horizontal="center" vertical="center"/>
    </xf>
    <xf numFmtId="193" fontId="70" fillId="0" borderId="187" xfId="129" applyNumberFormat="1" applyFont="1" applyBorder="1" applyAlignment="1">
      <alignment horizontal="center" vertical="center"/>
    </xf>
    <xf numFmtId="38" fontId="70" fillId="0" borderId="187" xfId="210" applyNumberFormat="1" applyFont="1" applyBorder="1" applyAlignment="1">
      <alignment horizontal="center" vertical="center"/>
    </xf>
    <xf numFmtId="38" fontId="70" fillId="0" borderId="188" xfId="210" applyNumberFormat="1" applyFont="1" applyBorder="1" applyAlignment="1">
      <alignment horizontal="center" vertical="center"/>
    </xf>
    <xf numFmtId="0" fontId="69" fillId="0" borderId="189" xfId="178" applyFont="1" applyBorder="1" applyAlignment="1">
      <alignment horizontal="center" vertical="center"/>
    </xf>
    <xf numFmtId="3" fontId="70" fillId="0" borderId="190" xfId="210" applyNumberFormat="1" applyFont="1" applyBorder="1" applyAlignment="1">
      <alignment horizontal="center" vertical="center"/>
    </xf>
    <xf numFmtId="4" fontId="70" fillId="0" borderId="190" xfId="210" applyNumberFormat="1" applyFont="1" applyBorder="1" applyAlignment="1">
      <alignment horizontal="center" vertical="center"/>
    </xf>
    <xf numFmtId="4" fontId="60" fillId="0" borderId="190" xfId="104" applyNumberFormat="1" applyFont="1" applyFill="1" applyBorder="1" applyAlignment="1">
      <alignment horizontal="center" vertical="center"/>
    </xf>
    <xf numFmtId="41" fontId="69" fillId="0" borderId="190" xfId="139" applyFont="1" applyBorder="1" applyAlignment="1">
      <alignment horizontal="center" vertical="center"/>
    </xf>
    <xf numFmtId="181" fontId="70" fillId="0" borderId="190" xfId="210" applyNumberFormat="1" applyFont="1" applyBorder="1" applyAlignment="1">
      <alignment horizontal="center" vertical="center"/>
    </xf>
    <xf numFmtId="193" fontId="70" fillId="0" borderId="190" xfId="129" applyNumberFormat="1" applyFont="1" applyBorder="1" applyAlignment="1">
      <alignment horizontal="center" vertical="center"/>
    </xf>
    <xf numFmtId="38" fontId="70" fillId="0" borderId="190" xfId="210" applyNumberFormat="1" applyFont="1" applyBorder="1" applyAlignment="1">
      <alignment horizontal="center" vertical="center"/>
    </xf>
    <xf numFmtId="38" fontId="70" fillId="0" borderId="191" xfId="210" applyNumberFormat="1" applyFont="1" applyBorder="1" applyAlignment="1">
      <alignment horizontal="center" vertical="center"/>
    </xf>
    <xf numFmtId="0" fontId="69" fillId="0" borderId="192" xfId="178" applyFont="1" applyBorder="1" applyAlignment="1">
      <alignment horizontal="center" vertical="center"/>
    </xf>
    <xf numFmtId="38" fontId="70" fillId="0" borderId="193" xfId="210" applyNumberFormat="1" applyFont="1" applyBorder="1" applyAlignment="1">
      <alignment horizontal="center" vertical="center"/>
    </xf>
    <xf numFmtId="0" fontId="69" fillId="0" borderId="194" xfId="178" applyFont="1" applyBorder="1" applyAlignment="1">
      <alignment horizontal="center" vertical="center"/>
    </xf>
    <xf numFmtId="38" fontId="70" fillId="0" borderId="195" xfId="210" applyNumberFormat="1" applyFont="1" applyBorder="1" applyAlignment="1">
      <alignment horizontal="center" vertical="center"/>
    </xf>
    <xf numFmtId="0" fontId="2" fillId="0" borderId="0" xfId="169" applyAlignment="1">
      <alignment horizontal="center"/>
    </xf>
    <xf numFmtId="43" fontId="2" fillId="0" borderId="0" xfId="169" applyNumberFormat="1" applyAlignment="1">
      <alignment horizontal="center"/>
    </xf>
    <xf numFmtId="41" fontId="2" fillId="0" borderId="0" xfId="104" applyFont="1" applyAlignment="1">
      <alignment horizontal="center"/>
    </xf>
    <xf numFmtId="200" fontId="2" fillId="0" borderId="0" xfId="104" applyNumberFormat="1" applyFont="1" applyAlignment="1">
      <alignment horizontal="center"/>
    </xf>
    <xf numFmtId="43" fontId="2" fillId="0" borderId="0" xfId="104" applyNumberFormat="1" applyFont="1" applyAlignment="1">
      <alignment horizontal="center"/>
    </xf>
    <xf numFmtId="0" fontId="43" fillId="0" borderId="19" xfId="169" applyFont="1" applyBorder="1" applyAlignment="1">
      <alignment horizontal="center" vertical="center"/>
    </xf>
    <xf numFmtId="177" fontId="45" fillId="27" borderId="2" xfId="169" applyNumberFormat="1" applyFont="1" applyFill="1" applyBorder="1" applyAlignment="1">
      <alignment horizontal="center" vertical="center"/>
    </xf>
    <xf numFmtId="0" fontId="43" fillId="0" borderId="3" xfId="169" applyFont="1" applyBorder="1" applyAlignment="1">
      <alignment horizontal="center" vertical="center"/>
    </xf>
    <xf numFmtId="41" fontId="49" fillId="0" borderId="30" xfId="106" applyFont="1" applyFill="1" applyBorder="1" applyAlignment="1">
      <alignment horizontal="center" vertical="center"/>
    </xf>
    <xf numFmtId="41" fontId="49" fillId="0" borderId="3" xfId="106" applyFont="1" applyFill="1" applyBorder="1" applyAlignment="1">
      <alignment horizontal="center" vertical="center"/>
    </xf>
    <xf numFmtId="41" fontId="49" fillId="25" borderId="3" xfId="106" applyFont="1" applyFill="1" applyBorder="1" applyAlignment="1">
      <alignment horizontal="center" vertical="center"/>
    </xf>
    <xf numFmtId="0" fontId="43" fillId="0" borderId="0" xfId="169" applyFont="1" applyBorder="1" applyAlignment="1">
      <alignment vertical="center"/>
    </xf>
    <xf numFmtId="0" fontId="72" fillId="0" borderId="0" xfId="169" applyFont="1" applyBorder="1" applyAlignment="1">
      <alignment vertical="center"/>
    </xf>
    <xf numFmtId="0" fontId="43" fillId="0" borderId="0" xfId="169" applyFont="1" applyBorder="1" applyAlignment="1">
      <alignment horizontal="left" vertical="center"/>
    </xf>
    <xf numFmtId="0" fontId="44" fillId="0" borderId="0" xfId="169" applyFont="1" applyBorder="1"/>
    <xf numFmtId="0" fontId="43" fillId="0" borderId="21" xfId="169" applyFont="1" applyBorder="1"/>
    <xf numFmtId="41" fontId="43" fillId="0" borderId="115" xfId="106" applyFont="1" applyBorder="1" applyAlignment="1">
      <alignment vertical="center"/>
    </xf>
    <xf numFmtId="0" fontId="43" fillId="0" borderId="0" xfId="169" applyFont="1" applyBorder="1"/>
    <xf numFmtId="0" fontId="47" fillId="0" borderId="0" xfId="169" applyFont="1" applyBorder="1" applyAlignment="1">
      <alignment vertical="center"/>
    </xf>
    <xf numFmtId="0" fontId="47" fillId="0" borderId="23" xfId="169" applyFont="1" applyBorder="1" applyAlignment="1">
      <alignment vertical="center"/>
    </xf>
    <xf numFmtId="180" fontId="72" fillId="0" borderId="20" xfId="169" applyNumberFormat="1" applyFont="1" applyBorder="1" applyAlignment="1">
      <alignment vertical="center"/>
    </xf>
    <xf numFmtId="0" fontId="72" fillId="0" borderId="21" xfId="169" applyFont="1" applyBorder="1" applyAlignment="1">
      <alignment vertical="center"/>
    </xf>
    <xf numFmtId="41" fontId="72" fillId="0" borderId="21" xfId="106" applyFont="1" applyBorder="1" applyAlignment="1">
      <alignment vertical="center"/>
    </xf>
    <xf numFmtId="0" fontId="72" fillId="0" borderId="23" xfId="169" applyFont="1" applyBorder="1"/>
    <xf numFmtId="0" fontId="72" fillId="0" borderId="17" xfId="169" applyFont="1" applyBorder="1"/>
    <xf numFmtId="0" fontId="72" fillId="0" borderId="115" xfId="169" applyFont="1" applyBorder="1"/>
    <xf numFmtId="180" fontId="72" fillId="0" borderId="21" xfId="169" applyNumberFormat="1" applyFont="1" applyBorder="1" applyAlignment="1">
      <alignment vertical="center"/>
    </xf>
    <xf numFmtId="180" fontId="43" fillId="0" borderId="0" xfId="169" applyNumberFormat="1" applyFont="1" applyBorder="1" applyAlignment="1">
      <alignment vertical="center"/>
    </xf>
    <xf numFmtId="180" fontId="72" fillId="0" borderId="0" xfId="169" applyNumberFormat="1" applyFont="1" applyBorder="1" applyAlignment="1">
      <alignment vertical="center"/>
    </xf>
    <xf numFmtId="180" fontId="72" fillId="0" borderId="24" xfId="169" applyNumberFormat="1" applyFont="1" applyBorder="1" applyAlignment="1">
      <alignment vertical="center"/>
    </xf>
    <xf numFmtId="177" fontId="45" fillId="27" borderId="26" xfId="169" applyNumberFormat="1" applyFont="1" applyFill="1" applyBorder="1" applyAlignment="1">
      <alignment horizontal="center" vertical="center"/>
    </xf>
    <xf numFmtId="41" fontId="49" fillId="0" borderId="32" xfId="106" applyFont="1" applyFill="1" applyBorder="1" applyAlignment="1">
      <alignment horizontal="center" vertical="center"/>
    </xf>
    <xf numFmtId="41" fontId="49" fillId="0" borderId="32" xfId="116" applyFont="1" applyFill="1" applyBorder="1" applyAlignment="1">
      <alignment horizontal="center" vertical="center"/>
    </xf>
    <xf numFmtId="41" fontId="49" fillId="0" borderId="32" xfId="106" applyFont="1" applyFill="1" applyBorder="1" applyAlignment="1">
      <alignment vertical="center"/>
    </xf>
    <xf numFmtId="0" fontId="43" fillId="0" borderId="32" xfId="169" applyFont="1" applyBorder="1" applyAlignment="1">
      <alignment horizontal="center" vertical="center"/>
    </xf>
    <xf numFmtId="14" fontId="43" fillId="0" borderId="40" xfId="106" applyNumberFormat="1" applyFont="1" applyBorder="1" applyAlignment="1">
      <alignment horizontal="center" vertical="center"/>
    </xf>
    <xf numFmtId="0" fontId="67" fillId="28" borderId="58" xfId="210" applyFont="1" applyFill="1" applyBorder="1" applyAlignment="1">
      <alignment horizontal="center" vertical="center"/>
    </xf>
    <xf numFmtId="0" fontId="70" fillId="28" borderId="62" xfId="210" applyFont="1" applyFill="1" applyBorder="1" applyAlignment="1">
      <alignment horizontal="center" vertical="center"/>
    </xf>
    <xf numFmtId="3" fontId="70" fillId="28" borderId="41" xfId="210" applyNumberFormat="1" applyFont="1" applyFill="1" applyBorder="1" applyAlignment="1">
      <alignment horizontal="center" vertical="center"/>
    </xf>
    <xf numFmtId="4" fontId="70" fillId="28" borderId="41" xfId="210" applyNumberFormat="1" applyFont="1" applyFill="1" applyBorder="1" applyAlignment="1">
      <alignment horizontal="center" vertical="center"/>
    </xf>
    <xf numFmtId="41" fontId="70" fillId="28" borderId="41" xfId="139" applyFont="1" applyFill="1" applyBorder="1" applyAlignment="1">
      <alignment horizontal="center" vertical="center"/>
    </xf>
    <xf numFmtId="181" fontId="70" fillId="28" borderId="41" xfId="210" applyNumberFormat="1" applyFont="1" applyFill="1" applyBorder="1" applyAlignment="1">
      <alignment horizontal="center" vertical="center"/>
    </xf>
    <xf numFmtId="193" fontId="70" fillId="28" borderId="78" xfId="129" applyNumberFormat="1" applyFont="1" applyFill="1" applyBorder="1" applyAlignment="1">
      <alignment horizontal="center" vertical="center"/>
    </xf>
    <xf numFmtId="38" fontId="70" fillId="28" borderId="41" xfId="210" applyNumberFormat="1" applyFont="1" applyFill="1" applyBorder="1" applyAlignment="1">
      <alignment horizontal="center" vertical="center"/>
    </xf>
    <xf numFmtId="38" fontId="70" fillId="28" borderId="61" xfId="210" applyNumberFormat="1" applyFont="1" applyFill="1" applyBorder="1" applyAlignment="1">
      <alignment horizontal="center" vertical="center"/>
    </xf>
    <xf numFmtId="4" fontId="70" fillId="28" borderId="43" xfId="210" applyNumberFormat="1" applyFont="1" applyFill="1" applyBorder="1" applyAlignment="1">
      <alignment horizontal="center" vertical="center"/>
    </xf>
    <xf numFmtId="41" fontId="70" fillId="28" borderId="43" xfId="139" applyFont="1" applyFill="1" applyBorder="1" applyAlignment="1">
      <alignment horizontal="center" vertical="center"/>
    </xf>
    <xf numFmtId="181" fontId="70" fillId="28" borderId="43" xfId="210" applyNumberFormat="1" applyFont="1" applyFill="1" applyBorder="1" applyAlignment="1">
      <alignment horizontal="center" vertical="center"/>
    </xf>
    <xf numFmtId="193" fontId="70" fillId="28" borderId="43" xfId="129" applyNumberFormat="1" applyFont="1" applyFill="1" applyBorder="1" applyAlignment="1">
      <alignment horizontal="center" vertical="center"/>
    </xf>
    <xf numFmtId="3" fontId="70" fillId="28" borderId="40" xfId="210" applyNumberFormat="1" applyFont="1" applyFill="1" applyBorder="1" applyAlignment="1">
      <alignment horizontal="center" vertical="center"/>
    </xf>
    <xf numFmtId="41" fontId="70" fillId="28" borderId="40" xfId="139" applyFont="1" applyFill="1" applyBorder="1" applyAlignment="1">
      <alignment horizontal="center" vertical="center"/>
    </xf>
    <xf numFmtId="181" fontId="70" fillId="28" borderId="40" xfId="210" applyNumberFormat="1" applyFont="1" applyFill="1" applyBorder="1" applyAlignment="1">
      <alignment horizontal="center" vertical="center"/>
    </xf>
    <xf numFmtId="193" fontId="70" fillId="28" borderId="42" xfId="129" applyNumberFormat="1" applyFont="1" applyFill="1" applyBorder="1" applyAlignment="1">
      <alignment horizontal="center" vertical="center"/>
    </xf>
    <xf numFmtId="203" fontId="70" fillId="28" borderId="40" xfId="210" applyNumberFormat="1" applyFont="1" applyFill="1" applyBorder="1" applyAlignment="1">
      <alignment horizontal="center" vertical="center"/>
    </xf>
    <xf numFmtId="203" fontId="70" fillId="28" borderId="41" xfId="210" applyNumberFormat="1" applyFont="1" applyFill="1" applyBorder="1" applyAlignment="1">
      <alignment horizontal="center" vertical="center"/>
    </xf>
    <xf numFmtId="3" fontId="70" fillId="28" borderId="43" xfId="210" applyNumberFormat="1" applyFont="1" applyFill="1" applyBorder="1" applyAlignment="1">
      <alignment horizontal="center" vertical="center"/>
    </xf>
    <xf numFmtId="41" fontId="70" fillId="28" borderId="40" xfId="137" applyFont="1" applyFill="1" applyBorder="1" applyAlignment="1">
      <alignment horizontal="center" vertical="center"/>
    </xf>
    <xf numFmtId="0" fontId="70" fillId="28" borderId="59" xfId="210" applyFont="1" applyFill="1" applyBorder="1" applyAlignment="1">
      <alignment horizontal="center" vertical="center"/>
    </xf>
    <xf numFmtId="3" fontId="70" fillId="28" borderId="42" xfId="210" applyNumberFormat="1" applyFont="1" applyFill="1" applyBorder="1" applyAlignment="1">
      <alignment horizontal="center" vertical="center"/>
    </xf>
    <xf numFmtId="41" fontId="70" fillId="28" borderId="42" xfId="139" applyFont="1" applyFill="1" applyBorder="1" applyAlignment="1">
      <alignment horizontal="center" vertical="center"/>
    </xf>
    <xf numFmtId="181" fontId="70" fillId="28" borderId="42" xfId="210" applyNumberFormat="1" applyFont="1" applyFill="1" applyBorder="1" applyAlignment="1">
      <alignment horizontal="center" vertical="center"/>
    </xf>
    <xf numFmtId="38" fontId="70" fillId="28" borderId="42" xfId="210" applyNumberFormat="1" applyFont="1" applyFill="1" applyBorder="1" applyAlignment="1">
      <alignment horizontal="center" vertical="center"/>
    </xf>
    <xf numFmtId="38" fontId="70" fillId="28" borderId="48" xfId="210" applyNumberFormat="1" applyFont="1" applyFill="1" applyBorder="1" applyAlignment="1">
      <alignment horizontal="center" vertical="center"/>
    </xf>
    <xf numFmtId="0" fontId="70" fillId="28" borderId="73" xfId="210" applyFont="1" applyFill="1" applyBorder="1" applyAlignment="1">
      <alignment horizontal="center" vertical="center"/>
    </xf>
    <xf numFmtId="3" fontId="70" fillId="28" borderId="53" xfId="210" applyNumberFormat="1" applyFont="1" applyFill="1" applyBorder="1" applyAlignment="1">
      <alignment horizontal="center" vertical="center"/>
    </xf>
    <xf numFmtId="203" fontId="70" fillId="28" borderId="53" xfId="210" applyNumberFormat="1" applyFont="1" applyFill="1" applyBorder="1" applyAlignment="1">
      <alignment horizontal="center" vertical="center"/>
    </xf>
    <xf numFmtId="41" fontId="70" fillId="28" borderId="53" xfId="139" applyFont="1" applyFill="1" applyBorder="1" applyAlignment="1">
      <alignment horizontal="center" vertical="center"/>
    </xf>
    <xf numFmtId="181" fontId="70" fillId="28" borderId="53" xfId="210" applyNumberFormat="1" applyFont="1" applyFill="1" applyBorder="1" applyAlignment="1">
      <alignment horizontal="center" vertical="center"/>
    </xf>
    <xf numFmtId="193" fontId="70" fillId="28" borderId="79" xfId="129" applyNumberFormat="1" applyFont="1" applyFill="1" applyBorder="1" applyAlignment="1">
      <alignment horizontal="center" vertical="center"/>
    </xf>
    <xf numFmtId="38" fontId="70" fillId="28" borderId="53" xfId="210" applyNumberFormat="1" applyFont="1" applyFill="1" applyBorder="1" applyAlignment="1">
      <alignment horizontal="center" vertical="center"/>
    </xf>
    <xf numFmtId="38" fontId="70" fillId="28" borderId="74" xfId="210" applyNumberFormat="1" applyFont="1" applyFill="1" applyBorder="1" applyAlignment="1">
      <alignment horizontal="center" vertical="center"/>
    </xf>
    <xf numFmtId="203" fontId="70" fillId="28" borderId="43" xfId="210" applyNumberFormat="1" applyFont="1" applyFill="1" applyBorder="1" applyAlignment="1">
      <alignment horizontal="center" vertical="center"/>
    </xf>
    <xf numFmtId="3" fontId="70" fillId="28" borderId="93" xfId="210" applyNumberFormat="1" applyFont="1" applyFill="1" applyBorder="1" applyAlignment="1">
      <alignment horizontal="center" vertical="center"/>
    </xf>
    <xf numFmtId="203" fontId="70" fillId="28" borderId="93" xfId="210" applyNumberFormat="1" applyFont="1" applyFill="1" applyBorder="1" applyAlignment="1">
      <alignment horizontal="center" vertical="center"/>
    </xf>
    <xf numFmtId="41" fontId="70" fillId="28" borderId="93" xfId="139" applyFont="1" applyFill="1" applyBorder="1" applyAlignment="1">
      <alignment horizontal="center" vertical="center"/>
    </xf>
    <xf numFmtId="181" fontId="70" fillId="28" borderId="93" xfId="210" applyNumberFormat="1" applyFont="1" applyFill="1" applyBorder="1" applyAlignment="1">
      <alignment horizontal="center" vertical="center"/>
    </xf>
    <xf numFmtId="193" fontId="70" fillId="28" borderId="93" xfId="129" applyNumberFormat="1" applyFont="1" applyFill="1" applyBorder="1" applyAlignment="1">
      <alignment horizontal="center" vertical="center"/>
    </xf>
    <xf numFmtId="3" fontId="70" fillId="28" borderId="18" xfId="210" applyNumberFormat="1" applyFont="1" applyFill="1" applyBorder="1" applyAlignment="1">
      <alignment horizontal="center" vertical="center"/>
    </xf>
    <xf numFmtId="203" fontId="70" fillId="28" borderId="18" xfId="210" applyNumberFormat="1" applyFont="1" applyFill="1" applyBorder="1" applyAlignment="1">
      <alignment horizontal="center" vertical="center"/>
    </xf>
    <xf numFmtId="4" fontId="79" fillId="28" borderId="18" xfId="104" applyNumberFormat="1" applyFont="1" applyFill="1" applyBorder="1" applyAlignment="1">
      <alignment horizontal="center" vertical="center"/>
    </xf>
    <xf numFmtId="41" fontId="70" fillId="28" borderId="18" xfId="139" applyFont="1" applyFill="1" applyBorder="1" applyAlignment="1">
      <alignment horizontal="center" vertical="center"/>
    </xf>
    <xf numFmtId="181" fontId="70" fillId="28" borderId="18" xfId="210" applyNumberFormat="1" applyFont="1" applyFill="1" applyBorder="1" applyAlignment="1">
      <alignment horizontal="center" vertical="center"/>
    </xf>
    <xf numFmtId="193" fontId="70" fillId="28" borderId="18" xfId="129" applyNumberFormat="1" applyFont="1" applyFill="1" applyBorder="1" applyAlignment="1">
      <alignment horizontal="center" vertical="center"/>
    </xf>
    <xf numFmtId="3" fontId="70" fillId="28" borderId="30" xfId="210" applyNumberFormat="1" applyFont="1" applyFill="1" applyBorder="1" applyAlignment="1">
      <alignment horizontal="center" vertical="center"/>
    </xf>
    <xf numFmtId="203" fontId="70" fillId="28" borderId="30" xfId="210" applyNumberFormat="1" applyFont="1" applyFill="1" applyBorder="1" applyAlignment="1">
      <alignment horizontal="center" vertical="center"/>
    </xf>
    <xf numFmtId="41" fontId="70" fillId="28" borderId="30" xfId="139" applyFont="1" applyFill="1" applyBorder="1" applyAlignment="1">
      <alignment horizontal="center" vertical="center"/>
    </xf>
    <xf numFmtId="181" fontId="70" fillId="28" borderId="30" xfId="210" applyNumberFormat="1" applyFont="1" applyFill="1" applyBorder="1" applyAlignment="1">
      <alignment horizontal="center" vertical="center"/>
    </xf>
    <xf numFmtId="193" fontId="70" fillId="28" borderId="30" xfId="129" applyNumberFormat="1" applyFont="1" applyFill="1" applyBorder="1" applyAlignment="1">
      <alignment horizontal="center" vertical="center"/>
    </xf>
    <xf numFmtId="38" fontId="70" fillId="28" borderId="30" xfId="210" applyNumberFormat="1" applyFont="1" applyFill="1" applyBorder="1" applyAlignment="1">
      <alignment horizontal="center" vertical="center"/>
    </xf>
    <xf numFmtId="38" fontId="70" fillId="28" borderId="96" xfId="210" applyNumberFormat="1" applyFont="1" applyFill="1" applyBorder="1" applyAlignment="1">
      <alignment horizontal="center" vertical="center"/>
    </xf>
    <xf numFmtId="0" fontId="68" fillId="28" borderId="35" xfId="210" applyFont="1" applyFill="1" applyBorder="1" applyAlignment="1">
      <alignment horizontal="center" vertical="center"/>
    </xf>
    <xf numFmtId="0" fontId="68" fillId="28" borderId="19" xfId="210" applyFont="1" applyFill="1" applyBorder="1" applyAlignment="1">
      <alignment horizontal="center" vertical="center"/>
    </xf>
    <xf numFmtId="41" fontId="71" fillId="28" borderId="19" xfId="210" applyNumberFormat="1" applyFont="1" applyFill="1" applyBorder="1" applyAlignment="1">
      <alignment vertical="center"/>
    </xf>
    <xf numFmtId="0" fontId="71" fillId="28" borderId="19" xfId="210" applyFont="1" applyFill="1" applyBorder="1" applyAlignment="1">
      <alignment vertical="center"/>
    </xf>
    <xf numFmtId="193" fontId="68" fillId="28" borderId="19" xfId="210" applyNumberFormat="1" applyFont="1" applyFill="1" applyBorder="1" applyAlignment="1">
      <alignment horizontal="center" vertical="center"/>
    </xf>
    <xf numFmtId="193" fontId="68" fillId="28" borderId="19" xfId="129" applyNumberFormat="1" applyFont="1" applyFill="1" applyBorder="1" applyAlignment="1">
      <alignment horizontal="center" vertical="center"/>
    </xf>
    <xf numFmtId="0" fontId="71" fillId="28" borderId="36" xfId="210" applyFont="1" applyFill="1" applyBorder="1" applyAlignment="1">
      <alignment vertical="center"/>
    </xf>
    <xf numFmtId="0" fontId="70" fillId="28" borderId="44" xfId="210" applyFont="1" applyFill="1" applyBorder="1" applyAlignment="1">
      <alignment horizontal="left" vertical="center"/>
    </xf>
    <xf numFmtId="0" fontId="51" fillId="28" borderId="21" xfId="210" applyFont="1" applyFill="1" applyBorder="1"/>
    <xf numFmtId="0" fontId="51" fillId="28" borderId="66" xfId="210" applyFont="1" applyFill="1" applyBorder="1"/>
    <xf numFmtId="0" fontId="70" fillId="28" borderId="49" xfId="210" applyFont="1" applyFill="1" applyBorder="1" applyAlignment="1">
      <alignment horizontal="left" vertical="center"/>
    </xf>
    <xf numFmtId="0" fontId="70" fillId="28" borderId="0" xfId="210" applyFont="1" applyFill="1" applyAlignment="1">
      <alignment horizontal="center" vertical="center"/>
    </xf>
    <xf numFmtId="0" fontId="51" fillId="28" borderId="0" xfId="210" applyFont="1" applyFill="1"/>
    <xf numFmtId="0" fontId="51" fillId="28" borderId="52" xfId="210" applyFont="1" applyFill="1" applyBorder="1"/>
    <xf numFmtId="193" fontId="70" fillId="28" borderId="0" xfId="210" applyNumberFormat="1" applyFont="1" applyFill="1" applyAlignment="1">
      <alignment horizontal="left" vertical="center"/>
    </xf>
    <xf numFmtId="3" fontId="70" fillId="28" borderId="0" xfId="210" applyNumberFormat="1" applyFont="1" applyFill="1" applyAlignment="1">
      <alignment horizontal="left" vertical="center"/>
    </xf>
    <xf numFmtId="0" fontId="70" fillId="28" borderId="0" xfId="210" quotePrefix="1" applyFont="1" applyFill="1" applyAlignment="1">
      <alignment horizontal="left" vertical="center"/>
    </xf>
    <xf numFmtId="0" fontId="70" fillId="28" borderId="0" xfId="210" applyFont="1" applyFill="1" applyAlignment="1">
      <alignment horizontal="left" vertical="center"/>
    </xf>
    <xf numFmtId="41" fontId="70" fillId="28" borderId="0" xfId="210" applyNumberFormat="1" applyFont="1" applyFill="1" applyAlignment="1">
      <alignment horizontal="left" vertical="center"/>
    </xf>
    <xf numFmtId="178" fontId="71" fillId="28" borderId="0" xfId="210" applyNumberFormat="1" applyFont="1" applyFill="1" applyAlignment="1">
      <alignment horizontal="left" vertical="center"/>
    </xf>
    <xf numFmtId="0" fontId="70" fillId="28" borderId="49" xfId="213" applyFont="1" applyFill="1" applyBorder="1">
      <alignment vertical="center"/>
    </xf>
    <xf numFmtId="0" fontId="51" fillId="28" borderId="45" xfId="210" applyFont="1" applyFill="1" applyBorder="1"/>
    <xf numFmtId="4" fontId="79" fillId="28" borderId="41" xfId="104" applyNumberFormat="1" applyFont="1" applyFill="1" applyBorder="1" applyAlignment="1">
      <alignment horizontal="center" vertical="center"/>
    </xf>
    <xf numFmtId="4" fontId="79" fillId="28" borderId="43" xfId="104" applyNumberFormat="1" applyFont="1" applyFill="1" applyBorder="1" applyAlignment="1">
      <alignment horizontal="center" vertical="center"/>
    </xf>
    <xf numFmtId="4" fontId="79" fillId="28" borderId="40" xfId="104" applyNumberFormat="1" applyFont="1" applyFill="1" applyBorder="1" applyAlignment="1">
      <alignment horizontal="center" vertical="center"/>
    </xf>
    <xf numFmtId="4" fontId="79" fillId="28" borderId="42" xfId="104" applyNumberFormat="1" applyFont="1" applyFill="1" applyBorder="1" applyAlignment="1">
      <alignment horizontal="center" vertical="center"/>
    </xf>
    <xf numFmtId="4" fontId="79" fillId="28" borderId="53" xfId="104" applyNumberFormat="1" applyFont="1" applyFill="1" applyBorder="1" applyAlignment="1">
      <alignment horizontal="center" vertical="center"/>
    </xf>
    <xf numFmtId="4" fontId="79" fillId="28" borderId="93" xfId="104" applyNumberFormat="1" applyFont="1" applyFill="1" applyBorder="1" applyAlignment="1">
      <alignment horizontal="center" vertical="center"/>
    </xf>
    <xf numFmtId="4" fontId="79" fillId="28" borderId="30" xfId="104" applyNumberFormat="1" applyFont="1" applyFill="1" applyBorder="1" applyAlignment="1">
      <alignment horizontal="center" vertical="center"/>
    </xf>
    <xf numFmtId="193" fontId="70" fillId="28" borderId="46" xfId="210" quotePrefix="1" applyNumberFormat="1" applyFont="1" applyFill="1" applyBorder="1" applyAlignment="1">
      <alignment horizontal="center" vertical="center"/>
    </xf>
    <xf numFmtId="0" fontId="70" fillId="28" borderId="67" xfId="210" applyFont="1" applyFill="1" applyBorder="1" applyAlignment="1">
      <alignment horizontal="left" vertical="center"/>
    </xf>
    <xf numFmtId="0" fontId="70" fillId="28" borderId="4" xfId="210" quotePrefix="1" applyFont="1" applyFill="1" applyBorder="1" applyAlignment="1">
      <alignment horizontal="left" vertical="center"/>
    </xf>
    <xf numFmtId="0" fontId="70" fillId="28" borderId="4" xfId="210" applyFont="1" applyFill="1" applyBorder="1" applyAlignment="1">
      <alignment horizontal="left" vertical="center"/>
    </xf>
    <xf numFmtId="178" fontId="71" fillId="28" borderId="4" xfId="210" applyNumberFormat="1" applyFont="1" applyFill="1" applyBorder="1" applyAlignment="1">
      <alignment horizontal="left" vertical="center"/>
    </xf>
    <xf numFmtId="9" fontId="71" fillId="28" borderId="4" xfId="210" applyNumberFormat="1" applyFont="1" applyFill="1" applyBorder="1" applyAlignment="1">
      <alignment horizontal="left" vertical="center"/>
    </xf>
    <xf numFmtId="0" fontId="51" fillId="28" borderId="4" xfId="210" applyFont="1" applyFill="1" applyBorder="1"/>
    <xf numFmtId="0" fontId="73" fillId="28" borderId="166" xfId="210" applyFont="1" applyFill="1" applyBorder="1" applyAlignment="1">
      <alignment horizontal="center" vertical="center"/>
    </xf>
    <xf numFmtId="3" fontId="73" fillId="28" borderId="97" xfId="210" applyNumberFormat="1" applyFont="1" applyFill="1" applyBorder="1" applyAlignment="1">
      <alignment horizontal="center" vertical="center"/>
    </xf>
    <xf numFmtId="203" fontId="73" fillId="28" borderId="97" xfId="210" applyNumberFormat="1" applyFont="1" applyFill="1" applyBorder="1" applyAlignment="1">
      <alignment horizontal="center" vertical="center"/>
    </xf>
    <xf numFmtId="4" fontId="80" fillId="28" borderId="97" xfId="104" applyNumberFormat="1" applyFont="1" applyFill="1" applyBorder="1" applyAlignment="1">
      <alignment horizontal="center" vertical="center"/>
    </xf>
    <xf numFmtId="41" fontId="73" fillId="28" borderId="97" xfId="139" applyFont="1" applyFill="1" applyBorder="1" applyAlignment="1">
      <alignment horizontal="center" vertical="center"/>
    </xf>
    <xf numFmtId="181" fontId="73" fillId="28" borderId="97" xfId="210" applyNumberFormat="1" applyFont="1" applyFill="1" applyBorder="1" applyAlignment="1">
      <alignment horizontal="center" vertical="center"/>
    </xf>
    <xf numFmtId="193" fontId="73" fillId="28" borderId="97" xfId="129" applyNumberFormat="1" applyFont="1" applyFill="1" applyBorder="1" applyAlignment="1">
      <alignment horizontal="center" vertical="center"/>
    </xf>
    <xf numFmtId="38" fontId="73" fillId="28" borderId="97" xfId="210" applyNumberFormat="1" applyFont="1" applyFill="1" applyBorder="1" applyAlignment="1">
      <alignment horizontal="center" vertical="center"/>
    </xf>
    <xf numFmtId="38" fontId="73" fillId="28" borderId="167" xfId="210" applyNumberFormat="1" applyFont="1" applyFill="1" applyBorder="1" applyAlignment="1">
      <alignment horizontal="center" vertical="center"/>
    </xf>
    <xf numFmtId="0" fontId="73" fillId="28" borderId="59" xfId="210" applyFont="1" applyFill="1" applyBorder="1" applyAlignment="1">
      <alignment horizontal="center" vertical="center"/>
    </xf>
    <xf numFmtId="3" fontId="73" fillId="28" borderId="42" xfId="210" applyNumberFormat="1" applyFont="1" applyFill="1" applyBorder="1" applyAlignment="1">
      <alignment horizontal="center" vertical="center"/>
    </xf>
    <xf numFmtId="4" fontId="80" fillId="28" borderId="42" xfId="104" applyNumberFormat="1" applyFont="1" applyFill="1" applyBorder="1" applyAlignment="1">
      <alignment horizontal="center" vertical="center"/>
    </xf>
    <xf numFmtId="41" fontId="73" fillId="28" borderId="42" xfId="139" applyFont="1" applyFill="1" applyBorder="1" applyAlignment="1">
      <alignment horizontal="center" vertical="center"/>
    </xf>
    <xf numFmtId="181" fontId="73" fillId="28" borderId="42" xfId="210" applyNumberFormat="1" applyFont="1" applyFill="1" applyBorder="1" applyAlignment="1">
      <alignment horizontal="center" vertical="center"/>
    </xf>
    <xf numFmtId="193" fontId="73" fillId="28" borderId="42" xfId="129" applyNumberFormat="1" applyFont="1" applyFill="1" applyBorder="1" applyAlignment="1">
      <alignment horizontal="center" vertical="center"/>
    </xf>
    <xf numFmtId="38" fontId="73" fillId="28" borderId="42" xfId="210" applyNumberFormat="1" applyFont="1" applyFill="1" applyBorder="1" applyAlignment="1">
      <alignment horizontal="center" vertical="center"/>
    </xf>
    <xf numFmtId="38" fontId="73" fillId="28" borderId="48" xfId="210" applyNumberFormat="1" applyFont="1" applyFill="1" applyBorder="1" applyAlignment="1">
      <alignment horizontal="center" vertical="center"/>
    </xf>
    <xf numFmtId="0" fontId="73" fillId="28" borderId="62" xfId="210" applyFont="1" applyFill="1" applyBorder="1" applyAlignment="1">
      <alignment horizontal="center" vertical="center"/>
    </xf>
    <xf numFmtId="3" fontId="73" fillId="28" borderId="41" xfId="210" applyNumberFormat="1" applyFont="1" applyFill="1" applyBorder="1" applyAlignment="1">
      <alignment horizontal="center" vertical="center"/>
    </xf>
    <xf numFmtId="203" fontId="73" fillId="28" borderId="41" xfId="210" applyNumberFormat="1" applyFont="1" applyFill="1" applyBorder="1" applyAlignment="1">
      <alignment horizontal="center" vertical="center"/>
    </xf>
    <xf numFmtId="4" fontId="80" fillId="28" borderId="41" xfId="104" applyNumberFormat="1" applyFont="1" applyFill="1" applyBorder="1" applyAlignment="1">
      <alignment horizontal="center" vertical="center"/>
    </xf>
    <xf numFmtId="41" fontId="73" fillId="28" borderId="41" xfId="139" applyFont="1" applyFill="1" applyBorder="1" applyAlignment="1">
      <alignment horizontal="center" vertical="center"/>
    </xf>
    <xf numFmtId="181" fontId="73" fillId="28" borderId="41" xfId="210" applyNumberFormat="1" applyFont="1" applyFill="1" applyBorder="1" applyAlignment="1">
      <alignment horizontal="center" vertical="center"/>
    </xf>
    <xf numFmtId="193" fontId="73" fillId="28" borderId="78" xfId="129" applyNumberFormat="1" applyFont="1" applyFill="1" applyBorder="1" applyAlignment="1">
      <alignment horizontal="center" vertical="center"/>
    </xf>
    <xf numFmtId="38" fontId="73" fillId="28" borderId="41" xfId="210" applyNumberFormat="1" applyFont="1" applyFill="1" applyBorder="1" applyAlignment="1">
      <alignment horizontal="center" vertical="center"/>
    </xf>
    <xf numFmtId="38" fontId="73" fillId="28" borderId="61" xfId="210" applyNumberFormat="1" applyFont="1" applyFill="1" applyBorder="1" applyAlignment="1">
      <alignment horizontal="center" vertical="center"/>
    </xf>
    <xf numFmtId="0" fontId="73" fillId="28" borderId="70" xfId="210" applyFont="1" applyFill="1" applyBorder="1" applyAlignment="1">
      <alignment horizontal="center" vertical="center"/>
    </xf>
    <xf numFmtId="3" fontId="73" fillId="28" borderId="43" xfId="210" applyNumberFormat="1" applyFont="1" applyFill="1" applyBorder="1" applyAlignment="1">
      <alignment horizontal="center" vertical="center"/>
    </xf>
    <xf numFmtId="4" fontId="80" fillId="28" borderId="43" xfId="104" applyNumberFormat="1" applyFont="1" applyFill="1" applyBorder="1" applyAlignment="1">
      <alignment horizontal="center" vertical="center"/>
    </xf>
    <xf numFmtId="41" fontId="73" fillId="28" borderId="43" xfId="139" applyFont="1" applyFill="1" applyBorder="1" applyAlignment="1">
      <alignment horizontal="center" vertical="center"/>
    </xf>
    <xf numFmtId="181" fontId="73" fillId="28" borderId="43" xfId="210" applyNumberFormat="1" applyFont="1" applyFill="1" applyBorder="1" applyAlignment="1">
      <alignment horizontal="center" vertical="center"/>
    </xf>
    <xf numFmtId="193" fontId="73" fillId="28" borderId="43" xfId="129" applyNumberFormat="1" applyFont="1" applyFill="1" applyBorder="1" applyAlignment="1">
      <alignment horizontal="center" vertical="center"/>
    </xf>
    <xf numFmtId="38" fontId="73" fillId="28" borderId="43" xfId="210" applyNumberFormat="1" applyFont="1" applyFill="1" applyBorder="1" applyAlignment="1">
      <alignment horizontal="center" vertical="center"/>
    </xf>
    <xf numFmtId="38" fontId="73" fillId="28" borderId="65" xfId="210" applyNumberFormat="1" applyFont="1" applyFill="1" applyBorder="1" applyAlignment="1">
      <alignment horizontal="center" vertical="center"/>
    </xf>
    <xf numFmtId="0" fontId="73" fillId="28" borderId="60" xfId="210" applyFont="1" applyFill="1" applyBorder="1" applyAlignment="1">
      <alignment horizontal="center" vertical="center"/>
    </xf>
    <xf numFmtId="3" fontId="73" fillId="28" borderId="40" xfId="210" applyNumberFormat="1" applyFont="1" applyFill="1" applyBorder="1" applyAlignment="1">
      <alignment horizontal="center" vertical="center"/>
    </xf>
    <xf numFmtId="203" fontId="73" fillId="28" borderId="40" xfId="210" applyNumberFormat="1" applyFont="1" applyFill="1" applyBorder="1" applyAlignment="1">
      <alignment horizontal="center" vertical="center"/>
    </xf>
    <xf numFmtId="4" fontId="80" fillId="28" borderId="40" xfId="104" applyNumberFormat="1" applyFont="1" applyFill="1" applyBorder="1" applyAlignment="1">
      <alignment horizontal="center" vertical="center"/>
    </xf>
    <xf numFmtId="41" fontId="73" fillId="28" borderId="40" xfId="139" applyFont="1" applyFill="1" applyBorder="1" applyAlignment="1">
      <alignment horizontal="center" vertical="center"/>
    </xf>
    <xf numFmtId="181" fontId="73" fillId="28" borderId="40" xfId="210" applyNumberFormat="1" applyFont="1" applyFill="1" applyBorder="1" applyAlignment="1">
      <alignment horizontal="center" vertical="center"/>
    </xf>
    <xf numFmtId="38" fontId="73" fillId="28" borderId="40" xfId="210" applyNumberFormat="1" applyFont="1" applyFill="1" applyBorder="1" applyAlignment="1">
      <alignment horizontal="center" vertical="center"/>
    </xf>
    <xf numFmtId="38" fontId="73" fillId="28" borderId="47" xfId="210" applyNumberFormat="1" applyFont="1" applyFill="1" applyBorder="1" applyAlignment="1">
      <alignment horizontal="center" vertical="center"/>
    </xf>
    <xf numFmtId="4" fontId="73" fillId="28" borderId="43" xfId="210" applyNumberFormat="1" applyFont="1" applyFill="1" applyBorder="1" applyAlignment="1">
      <alignment horizontal="center" vertical="center"/>
    </xf>
    <xf numFmtId="4" fontId="73" fillId="28" borderId="40" xfId="210" applyNumberFormat="1" applyFont="1" applyFill="1" applyBorder="1" applyAlignment="1">
      <alignment horizontal="center" vertical="center"/>
    </xf>
    <xf numFmtId="0" fontId="73" fillId="28" borderId="54" xfId="210" applyFont="1" applyFill="1" applyBorder="1" applyAlignment="1">
      <alignment horizontal="center" vertical="center"/>
    </xf>
    <xf numFmtId="0" fontId="73" fillId="28" borderId="68" xfId="210" applyFont="1" applyFill="1" applyBorder="1" applyAlignment="1">
      <alignment horizontal="center" vertical="center"/>
    </xf>
    <xf numFmtId="3" fontId="73" fillId="28" borderId="63" xfId="210" applyNumberFormat="1" applyFont="1" applyFill="1" applyBorder="1" applyAlignment="1">
      <alignment horizontal="center" vertical="center"/>
    </xf>
    <xf numFmtId="203" fontId="73" fillId="28" borderId="63" xfId="210" applyNumberFormat="1" applyFont="1" applyFill="1" applyBorder="1" applyAlignment="1">
      <alignment horizontal="center" vertical="center"/>
    </xf>
    <xf numFmtId="4" fontId="80" fillId="28" borderId="63" xfId="104" applyNumberFormat="1" applyFont="1" applyFill="1" applyBorder="1" applyAlignment="1">
      <alignment horizontal="center" vertical="center"/>
    </xf>
    <xf numFmtId="41" fontId="73" fillId="28" borderId="63" xfId="139" applyFont="1" applyFill="1" applyBorder="1" applyAlignment="1">
      <alignment horizontal="center" vertical="center"/>
    </xf>
    <xf numFmtId="181" fontId="73" fillId="28" borderId="63" xfId="210" applyNumberFormat="1" applyFont="1" applyFill="1" applyBorder="1" applyAlignment="1">
      <alignment horizontal="center" vertical="center"/>
    </xf>
    <xf numFmtId="38" fontId="73" fillId="28" borderId="63" xfId="210" applyNumberFormat="1" applyFont="1" applyFill="1" applyBorder="1" applyAlignment="1">
      <alignment horizontal="center" vertical="center"/>
    </xf>
    <xf numFmtId="38" fontId="73" fillId="28" borderId="199" xfId="210" applyNumberFormat="1" applyFont="1" applyFill="1" applyBorder="1" applyAlignment="1">
      <alignment horizontal="center" vertical="center"/>
    </xf>
    <xf numFmtId="0" fontId="73" fillId="28" borderId="69" xfId="210" applyFont="1" applyFill="1" applyBorder="1" applyAlignment="1">
      <alignment horizontal="center" vertical="center"/>
    </xf>
    <xf numFmtId="3" fontId="73" fillId="28" borderId="64" xfId="210" applyNumberFormat="1" applyFont="1" applyFill="1" applyBorder="1" applyAlignment="1">
      <alignment horizontal="center" vertical="center"/>
    </xf>
    <xf numFmtId="203" fontId="73" fillId="28" borderId="64" xfId="210" applyNumberFormat="1" applyFont="1" applyFill="1" applyBorder="1" applyAlignment="1">
      <alignment horizontal="center" vertical="center"/>
    </xf>
    <xf numFmtId="4" fontId="80" fillId="28" borderId="64" xfId="104" applyNumberFormat="1" applyFont="1" applyFill="1" applyBorder="1" applyAlignment="1">
      <alignment horizontal="center" vertical="center"/>
    </xf>
    <xf numFmtId="41" fontId="73" fillId="28" borderId="64" xfId="139" applyFont="1" applyFill="1" applyBorder="1" applyAlignment="1">
      <alignment horizontal="center" vertical="center"/>
    </xf>
    <xf numFmtId="181" fontId="73" fillId="28" borderId="64" xfId="210" applyNumberFormat="1" applyFont="1" applyFill="1" applyBorder="1" applyAlignment="1">
      <alignment horizontal="center" vertical="center"/>
    </xf>
    <xf numFmtId="38" fontId="73" fillId="28" borderId="64" xfId="210" applyNumberFormat="1" applyFont="1" applyFill="1" applyBorder="1" applyAlignment="1">
      <alignment horizontal="center" vertical="center"/>
    </xf>
    <xf numFmtId="38" fontId="73" fillId="28" borderId="200" xfId="210" applyNumberFormat="1" applyFont="1" applyFill="1" applyBorder="1" applyAlignment="1">
      <alignment horizontal="center" vertical="center"/>
    </xf>
    <xf numFmtId="0" fontId="73" fillId="28" borderId="75" xfId="210" applyFont="1" applyFill="1" applyBorder="1" applyAlignment="1">
      <alignment horizontal="center" vertical="center"/>
    </xf>
    <xf numFmtId="3" fontId="73" fillId="28" borderId="76" xfId="210" applyNumberFormat="1" applyFont="1" applyFill="1" applyBorder="1" applyAlignment="1">
      <alignment horizontal="center" vertical="center"/>
    </xf>
    <xf numFmtId="203" fontId="73" fillId="28" borderId="76" xfId="210" applyNumberFormat="1" applyFont="1" applyFill="1" applyBorder="1" applyAlignment="1">
      <alignment horizontal="center" vertical="center"/>
    </xf>
    <xf numFmtId="4" fontId="80" fillId="28" borderId="76" xfId="104" applyNumberFormat="1" applyFont="1" applyFill="1" applyBorder="1" applyAlignment="1">
      <alignment horizontal="center" vertical="center"/>
    </xf>
    <xf numFmtId="41" fontId="73" fillId="28" borderId="76" xfId="139" applyFont="1" applyFill="1" applyBorder="1" applyAlignment="1">
      <alignment horizontal="center" vertical="center"/>
    </xf>
    <xf numFmtId="181" fontId="73" fillId="28" borderId="76" xfId="210" applyNumberFormat="1" applyFont="1" applyFill="1" applyBorder="1" applyAlignment="1">
      <alignment horizontal="center" vertical="center"/>
    </xf>
    <xf numFmtId="193" fontId="73" fillId="28" borderId="76" xfId="129" applyNumberFormat="1" applyFont="1" applyFill="1" applyBorder="1" applyAlignment="1">
      <alignment horizontal="center" vertical="center"/>
    </xf>
    <xf numFmtId="38" fontId="73" fillId="28" borderId="76" xfId="210" applyNumberFormat="1" applyFont="1" applyFill="1" applyBorder="1" applyAlignment="1">
      <alignment horizontal="center" vertical="center"/>
    </xf>
    <xf numFmtId="38" fontId="73" fillId="28" borderId="77" xfId="210" applyNumberFormat="1" applyFont="1" applyFill="1" applyBorder="1" applyAlignment="1">
      <alignment horizontal="center" vertical="center"/>
    </xf>
    <xf numFmtId="0" fontId="43" fillId="0" borderId="19" xfId="169" applyFont="1" applyBorder="1" applyAlignment="1">
      <alignment horizontal="center" vertical="center"/>
    </xf>
    <xf numFmtId="0" fontId="43" fillId="0" borderId="3" xfId="169" applyFont="1" applyBorder="1" applyAlignment="1">
      <alignment horizontal="center" vertical="center"/>
    </xf>
    <xf numFmtId="41" fontId="49" fillId="0" borderId="30" xfId="106" applyFont="1" applyFill="1" applyBorder="1" applyAlignment="1">
      <alignment horizontal="center" vertical="center"/>
    </xf>
    <xf numFmtId="41" fontId="49" fillId="25" borderId="3" xfId="106" applyFont="1" applyFill="1" applyBorder="1" applyAlignment="1">
      <alignment horizontal="center" vertical="center"/>
    </xf>
    <xf numFmtId="41" fontId="49" fillId="0" borderId="32" xfId="106" applyFont="1" applyFill="1" applyBorder="1" applyAlignment="1">
      <alignment horizontal="center" vertical="center"/>
    </xf>
    <xf numFmtId="41" fontId="49" fillId="0" borderId="28" xfId="106" applyFont="1" applyFill="1" applyBorder="1" applyAlignment="1">
      <alignment horizontal="center" vertical="center"/>
    </xf>
    <xf numFmtId="180" fontId="63" fillId="0" borderId="22" xfId="169" applyNumberFormat="1" applyFont="1" applyBorder="1" applyAlignment="1">
      <alignment vertical="center"/>
    </xf>
    <xf numFmtId="0" fontId="63" fillId="0" borderId="0" xfId="169" applyFont="1" applyAlignment="1">
      <alignment vertical="center"/>
    </xf>
    <xf numFmtId="41" fontId="63" fillId="0" borderId="0" xfId="106" applyFont="1" applyBorder="1" applyAlignment="1">
      <alignment horizontal="left" vertical="center"/>
    </xf>
    <xf numFmtId="0" fontId="63" fillId="0" borderId="23" xfId="169" applyFont="1" applyBorder="1"/>
    <xf numFmtId="41" fontId="63" fillId="0" borderId="0" xfId="106" applyFont="1" applyBorder="1" applyAlignment="1">
      <alignment vertical="center"/>
    </xf>
    <xf numFmtId="0" fontId="63" fillId="0" borderId="0" xfId="169" applyFont="1" applyAlignment="1">
      <alignment horizontal="left" vertical="center"/>
    </xf>
    <xf numFmtId="180" fontId="63" fillId="0" borderId="34" xfId="169" applyNumberFormat="1" applyFont="1" applyBorder="1" applyAlignment="1">
      <alignment vertical="center"/>
    </xf>
    <xf numFmtId="41" fontId="63" fillId="0" borderId="24" xfId="106" applyFont="1" applyBorder="1" applyAlignment="1">
      <alignment vertical="center"/>
    </xf>
    <xf numFmtId="0" fontId="63" fillId="0" borderId="24" xfId="169" applyFont="1" applyBorder="1" applyAlignment="1">
      <alignment horizontal="left" vertical="center"/>
    </xf>
    <xf numFmtId="0" fontId="63" fillId="0" borderId="17" xfId="169" applyFont="1" applyBorder="1"/>
    <xf numFmtId="0" fontId="63" fillId="0" borderId="0" xfId="169" applyFont="1"/>
    <xf numFmtId="0" fontId="63" fillId="0" borderId="24" xfId="169" applyFont="1" applyBorder="1"/>
    <xf numFmtId="0" fontId="81" fillId="0" borderId="24" xfId="169" applyFont="1" applyBorder="1" applyAlignment="1"/>
    <xf numFmtId="0" fontId="81" fillId="0" borderId="17" xfId="169" applyFont="1" applyBorder="1" applyAlignment="1"/>
    <xf numFmtId="0" fontId="63" fillId="0" borderId="0" xfId="169" applyFont="1" applyBorder="1" applyAlignment="1">
      <alignment vertical="center"/>
    </xf>
    <xf numFmtId="0" fontId="63" fillId="0" borderId="0" xfId="169" applyFont="1" applyBorder="1" applyAlignment="1">
      <alignment horizontal="left" vertical="center"/>
    </xf>
    <xf numFmtId="0" fontId="63" fillId="0" borderId="0" xfId="169" applyFont="1" applyBorder="1"/>
    <xf numFmtId="41" fontId="63" fillId="0" borderId="23" xfId="106" applyFont="1" applyBorder="1" applyAlignment="1">
      <alignment vertical="center"/>
    </xf>
    <xf numFmtId="0" fontId="82" fillId="0" borderId="24" xfId="169" applyFont="1" applyBorder="1"/>
    <xf numFmtId="0" fontId="3" fillId="0" borderId="0" xfId="169" applyFont="1" applyAlignment="1">
      <alignment horizontal="center" vertical="center"/>
    </xf>
    <xf numFmtId="0" fontId="6" fillId="0" borderId="0" xfId="169" applyFont="1" applyAlignment="1">
      <alignment horizontal="center" vertical="center"/>
    </xf>
    <xf numFmtId="14" fontId="43" fillId="0" borderId="27" xfId="106" applyNumberFormat="1" applyFont="1" applyBorder="1" applyAlignment="1">
      <alignment horizontal="center" vertical="center"/>
    </xf>
    <xf numFmtId="14" fontId="43" fillId="0" borderId="79" xfId="106" applyNumberFormat="1" applyFont="1" applyBorder="1" applyAlignment="1">
      <alignment horizontal="center" vertical="center"/>
    </xf>
    <xf numFmtId="14" fontId="43" fillId="0" borderId="19" xfId="106" applyNumberFormat="1" applyFont="1" applyBorder="1" applyAlignment="1">
      <alignment horizontal="center" vertical="center"/>
    </xf>
    <xf numFmtId="14" fontId="43" fillId="0" borderId="51" xfId="106" applyNumberFormat="1" applyFont="1" applyBorder="1" applyAlignment="1">
      <alignment horizontal="center" vertical="center"/>
    </xf>
    <xf numFmtId="14" fontId="43" fillId="0" borderId="40" xfId="106" applyNumberFormat="1" applyFont="1" applyBorder="1" applyAlignment="1">
      <alignment horizontal="center" vertical="center"/>
    </xf>
    <xf numFmtId="0" fontId="43" fillId="0" borderId="116" xfId="169" applyFont="1" applyBorder="1" applyAlignment="1">
      <alignment horizontal="center" vertical="center"/>
    </xf>
    <xf numFmtId="0" fontId="43" fillId="0" borderId="29" xfId="169" applyFont="1" applyBorder="1" applyAlignment="1">
      <alignment horizontal="center" vertical="center"/>
    </xf>
    <xf numFmtId="0" fontId="43" fillId="0" borderId="117" xfId="169" applyFont="1" applyBorder="1" applyAlignment="1">
      <alignment horizontal="center" vertical="center"/>
    </xf>
    <xf numFmtId="0" fontId="43" fillId="0" borderId="31" xfId="169" applyFont="1" applyBorder="1" applyAlignment="1">
      <alignment horizontal="center" vertical="center"/>
    </xf>
    <xf numFmtId="0" fontId="43" fillId="0" borderId="118" xfId="169" applyFont="1" applyBorder="1" applyAlignment="1">
      <alignment horizontal="center" vertical="center"/>
    </xf>
    <xf numFmtId="0" fontId="43" fillId="0" borderId="33" xfId="169" applyFont="1" applyBorder="1" applyAlignment="1">
      <alignment horizontal="center" vertical="center"/>
    </xf>
    <xf numFmtId="0" fontId="43" fillId="0" borderId="196" xfId="181" applyFont="1" applyBorder="1" applyAlignment="1">
      <alignment horizontal="center" vertical="center"/>
    </xf>
    <xf numFmtId="0" fontId="43" fillId="0" borderId="197" xfId="181" applyFont="1" applyBorder="1" applyAlignment="1">
      <alignment horizontal="center" vertical="center"/>
    </xf>
    <xf numFmtId="0" fontId="43" fillId="0" borderId="198" xfId="181" applyFont="1" applyBorder="1" applyAlignment="1">
      <alignment horizontal="center" vertical="center"/>
    </xf>
    <xf numFmtId="0" fontId="45" fillId="27" borderId="25" xfId="169" applyFont="1" applyFill="1" applyBorder="1" applyAlignment="1">
      <alignment horizontal="center" vertical="center"/>
    </xf>
    <xf numFmtId="0" fontId="45" fillId="27" borderId="26" xfId="169" applyFont="1" applyFill="1" applyBorder="1" applyAlignment="1">
      <alignment horizontal="center" vertical="center"/>
    </xf>
    <xf numFmtId="204" fontId="45" fillId="27" borderId="2" xfId="169" applyNumberFormat="1" applyFont="1" applyFill="1" applyBorder="1" applyAlignment="1">
      <alignment horizontal="left" vertical="center"/>
    </xf>
    <xf numFmtId="0" fontId="43" fillId="0" borderId="20" xfId="169" applyFont="1" applyBorder="1" applyAlignment="1">
      <alignment horizontal="center" vertical="center"/>
    </xf>
    <xf numFmtId="0" fontId="43" fillId="0" borderId="21" xfId="169" applyFont="1" applyBorder="1" applyAlignment="1">
      <alignment horizontal="center" vertical="center"/>
    </xf>
    <xf numFmtId="0" fontId="43" fillId="0" borderId="34" xfId="169" applyFont="1" applyBorder="1" applyAlignment="1">
      <alignment horizontal="center" vertical="center"/>
    </xf>
    <xf numFmtId="0" fontId="43" fillId="0" borderId="24" xfId="169" applyFont="1" applyBorder="1" applyAlignment="1">
      <alignment horizontal="center" vertical="center"/>
    </xf>
    <xf numFmtId="0" fontId="43" fillId="0" borderId="27" xfId="169" applyFont="1" applyBorder="1" applyAlignment="1">
      <alignment horizontal="center" vertical="center"/>
    </xf>
    <xf numFmtId="0" fontId="43" fillId="0" borderId="19" xfId="169" applyFont="1" applyBorder="1" applyAlignment="1">
      <alignment horizontal="center" vertical="center"/>
    </xf>
    <xf numFmtId="0" fontId="43" fillId="0" borderId="25" xfId="169" applyFont="1" applyBorder="1" applyAlignment="1">
      <alignment horizontal="center" vertical="center"/>
    </xf>
    <xf numFmtId="0" fontId="43" fillId="0" borderId="2" xfId="169" applyFont="1" applyBorder="1" applyAlignment="1">
      <alignment horizontal="center" vertical="center"/>
    </xf>
    <xf numFmtId="0" fontId="43" fillId="0" borderId="3" xfId="169" applyFont="1" applyBorder="1" applyAlignment="1">
      <alignment horizontal="center" vertical="center"/>
    </xf>
    <xf numFmtId="0" fontId="47" fillId="0" borderId="20" xfId="169" applyFont="1" applyBorder="1" applyAlignment="1">
      <alignment horizontal="left" vertical="center" wrapText="1" indent="1"/>
    </xf>
    <xf numFmtId="0" fontId="47" fillId="0" borderId="21" xfId="169" applyFont="1" applyBorder="1" applyAlignment="1">
      <alignment horizontal="left" vertical="center" wrapText="1" indent="1"/>
    </xf>
    <xf numFmtId="38" fontId="47" fillId="0" borderId="20" xfId="106" applyNumberFormat="1" applyFont="1" applyFill="1" applyBorder="1" applyAlignment="1">
      <alignment horizontal="center" vertical="center"/>
    </xf>
    <xf numFmtId="38" fontId="47" fillId="0" borderId="21" xfId="106" applyNumberFormat="1" applyFont="1" applyFill="1" applyBorder="1" applyAlignment="1">
      <alignment horizontal="center" vertical="center"/>
    </xf>
    <xf numFmtId="38" fontId="47" fillId="0" borderId="115" xfId="106" applyNumberFormat="1" applyFont="1" applyFill="1" applyBorder="1" applyAlignment="1">
      <alignment horizontal="center" vertical="center"/>
    </xf>
    <xf numFmtId="0" fontId="49" fillId="0" borderId="116" xfId="169" applyFont="1" applyBorder="1" applyAlignment="1">
      <alignment horizontal="left" vertical="center" wrapText="1" indent="2"/>
    </xf>
    <xf numFmtId="0" fontId="49" fillId="0" borderId="113" xfId="169" applyFont="1" applyBorder="1" applyAlignment="1">
      <alignment horizontal="left" vertical="center" wrapText="1" indent="2"/>
    </xf>
    <xf numFmtId="41" fontId="49" fillId="0" borderId="116" xfId="106" applyFont="1" applyFill="1" applyBorder="1" applyAlignment="1">
      <alignment horizontal="center" vertical="center" shrinkToFit="1"/>
    </xf>
    <xf numFmtId="41" fontId="49" fillId="0" borderId="113" xfId="106" applyFont="1" applyFill="1" applyBorder="1" applyAlignment="1">
      <alignment horizontal="center" vertical="center" shrinkToFit="1"/>
    </xf>
    <xf numFmtId="0" fontId="43" fillId="0" borderId="26" xfId="169" applyFont="1" applyBorder="1" applyAlignment="1">
      <alignment horizontal="center" vertical="center"/>
    </xf>
    <xf numFmtId="0" fontId="49" fillId="0" borderId="30" xfId="169" applyFont="1" applyBorder="1" applyAlignment="1">
      <alignment horizontal="left" vertical="center" wrapText="1" indent="2"/>
    </xf>
    <xf numFmtId="41" fontId="49" fillId="0" borderId="30" xfId="106" applyFont="1" applyFill="1" applyBorder="1" applyAlignment="1">
      <alignment horizontal="center" vertical="center" shrinkToFit="1"/>
    </xf>
    <xf numFmtId="0" fontId="47" fillId="0" borderId="117" xfId="169" applyFont="1" applyBorder="1" applyAlignment="1">
      <alignment horizontal="left" vertical="center" wrapText="1" indent="2"/>
    </xf>
    <xf numFmtId="0" fontId="47" fillId="0" borderId="114" xfId="169" applyFont="1" applyBorder="1" applyAlignment="1">
      <alignment horizontal="left" vertical="center" wrapText="1" indent="2"/>
    </xf>
    <xf numFmtId="41" fontId="49" fillId="0" borderId="118" xfId="106" applyFont="1" applyFill="1" applyBorder="1" applyAlignment="1">
      <alignment horizontal="center" vertical="center" shrinkToFit="1"/>
    </xf>
    <xf numFmtId="41" fontId="49" fillId="0" borderId="33" xfId="106" applyFont="1" applyFill="1" applyBorder="1" applyAlignment="1">
      <alignment horizontal="center" vertical="center" shrinkToFit="1"/>
    </xf>
    <xf numFmtId="0" fontId="49" fillId="0" borderId="117" xfId="169" applyFont="1" applyBorder="1" applyAlignment="1">
      <alignment horizontal="left" vertical="center" wrapText="1" indent="2"/>
    </xf>
    <xf numFmtId="0" fontId="49" fillId="0" borderId="114" xfId="169" applyFont="1" applyBorder="1" applyAlignment="1">
      <alignment horizontal="left" vertical="center" wrapText="1" indent="2"/>
    </xf>
    <xf numFmtId="41" fontId="49" fillId="0" borderId="117" xfId="106" applyFont="1" applyFill="1" applyBorder="1" applyAlignment="1">
      <alignment horizontal="center" vertical="center" shrinkToFit="1"/>
    </xf>
    <xf numFmtId="41" fontId="49" fillId="0" borderId="114" xfId="106" applyFont="1" applyFill="1" applyBorder="1" applyAlignment="1">
      <alignment horizontal="center" vertical="center" shrinkToFit="1"/>
    </xf>
    <xf numFmtId="0" fontId="49" fillId="0" borderId="31" xfId="169" applyFont="1" applyBorder="1" applyAlignment="1">
      <alignment horizontal="left" vertical="center" wrapText="1" indent="2"/>
    </xf>
    <xf numFmtId="0" fontId="49" fillId="25" borderId="25" xfId="169" applyFont="1" applyFill="1" applyBorder="1" applyAlignment="1">
      <alignment horizontal="left" vertical="center" wrapText="1" indent="2"/>
    </xf>
    <xf numFmtId="0" fontId="49" fillId="25" borderId="26" xfId="169" applyFont="1" applyFill="1" applyBorder="1" applyAlignment="1">
      <alignment horizontal="left" vertical="center" wrapText="1" indent="2"/>
    </xf>
    <xf numFmtId="41" fontId="49" fillId="25" borderId="25" xfId="106" applyFont="1" applyFill="1" applyBorder="1" applyAlignment="1">
      <alignment horizontal="center" vertical="center" shrinkToFit="1"/>
    </xf>
    <xf numFmtId="41" fontId="49" fillId="25" borderId="26" xfId="106" applyFont="1" applyFill="1" applyBorder="1" applyAlignment="1">
      <alignment horizontal="center" vertical="center" shrinkToFit="1"/>
    </xf>
    <xf numFmtId="0" fontId="49" fillId="0" borderId="29" xfId="169" applyFont="1" applyBorder="1" applyAlignment="1">
      <alignment horizontal="left" vertical="center" wrapText="1" indent="2"/>
    </xf>
    <xf numFmtId="41" fontId="49" fillId="0" borderId="28" xfId="106" applyFont="1" applyFill="1" applyBorder="1" applyAlignment="1">
      <alignment horizontal="center" vertical="center" shrinkToFit="1"/>
    </xf>
    <xf numFmtId="0" fontId="47" fillId="0" borderId="118" xfId="169" applyFont="1" applyBorder="1" applyAlignment="1">
      <alignment horizontal="left" vertical="center" wrapText="1" indent="2"/>
    </xf>
    <xf numFmtId="0" fontId="47" fillId="0" borderId="112" xfId="169" applyFont="1" applyBorder="1" applyAlignment="1">
      <alignment horizontal="left" vertical="center" wrapText="1" indent="2"/>
    </xf>
    <xf numFmtId="0" fontId="48" fillId="0" borderId="20" xfId="169" applyFont="1" applyBorder="1" applyAlignment="1">
      <alignment horizontal="left" vertical="center" wrapText="1" indent="1"/>
    </xf>
    <xf numFmtId="0" fontId="48" fillId="0" borderId="115" xfId="169" applyFont="1" applyBorder="1" applyAlignment="1">
      <alignment horizontal="left" vertical="center" wrapText="1" indent="1"/>
    </xf>
    <xf numFmtId="41" fontId="47" fillId="0" borderId="20" xfId="106" applyFont="1" applyFill="1" applyBorder="1" applyAlignment="1">
      <alignment horizontal="center" vertical="center"/>
    </xf>
    <xf numFmtId="41" fontId="47" fillId="0" borderId="21" xfId="106" applyFont="1" applyFill="1" applyBorder="1" applyAlignment="1">
      <alignment horizontal="center" vertical="center"/>
    </xf>
    <xf numFmtId="41" fontId="47" fillId="0" borderId="115" xfId="106" applyFont="1" applyFill="1" applyBorder="1" applyAlignment="1">
      <alignment horizontal="center" vertical="center"/>
    </xf>
    <xf numFmtId="0" fontId="49" fillId="0" borderId="28" xfId="169" applyFont="1" applyBorder="1" applyAlignment="1">
      <alignment horizontal="left" vertical="center" wrapText="1" indent="2"/>
    </xf>
    <xf numFmtId="0" fontId="47" fillId="0" borderId="19" xfId="169" applyFont="1" applyBorder="1" applyAlignment="1">
      <alignment horizontal="center" vertical="center"/>
    </xf>
    <xf numFmtId="0" fontId="45" fillId="0" borderId="25" xfId="169" applyFont="1" applyBorder="1" applyAlignment="1">
      <alignment horizontal="center"/>
    </xf>
    <xf numFmtId="0" fontId="45" fillId="0" borderId="2" xfId="169" applyFont="1" applyBorder="1" applyAlignment="1">
      <alignment horizontal="center"/>
    </xf>
    <xf numFmtId="0" fontId="45" fillId="0" borderId="26" xfId="169" applyFont="1" applyBorder="1" applyAlignment="1">
      <alignment horizontal="center"/>
    </xf>
    <xf numFmtId="0" fontId="49" fillId="0" borderId="3" xfId="169" applyFont="1" applyBorder="1" applyAlignment="1">
      <alignment horizontal="center" vertical="center" wrapText="1"/>
    </xf>
    <xf numFmtId="41" fontId="62" fillId="0" borderId="3" xfId="106" applyFont="1" applyFill="1" applyBorder="1" applyAlignment="1">
      <alignment horizontal="center" vertical="center" shrinkToFit="1"/>
    </xf>
    <xf numFmtId="0" fontId="47" fillId="26" borderId="3" xfId="169" applyFont="1" applyFill="1" applyBorder="1" applyAlignment="1">
      <alignment horizontal="center" vertical="center" wrapText="1"/>
    </xf>
    <xf numFmtId="41" fontId="47" fillId="26" borderId="3" xfId="106" applyFont="1" applyFill="1" applyBorder="1" applyAlignment="1">
      <alignment horizontal="center" vertical="center" shrinkToFit="1"/>
    </xf>
    <xf numFmtId="41" fontId="43" fillId="0" borderId="25" xfId="106" applyFont="1" applyBorder="1" applyAlignment="1">
      <alignment horizontal="left" vertical="center"/>
    </xf>
    <xf numFmtId="41" fontId="43" fillId="0" borderId="2" xfId="106" applyFont="1" applyBorder="1" applyAlignment="1">
      <alignment horizontal="left" vertical="center"/>
    </xf>
    <xf numFmtId="41" fontId="43" fillId="0" borderId="26" xfId="106" applyFont="1" applyBorder="1" applyAlignment="1">
      <alignment horizontal="left" vertical="center"/>
    </xf>
    <xf numFmtId="0" fontId="49" fillId="0" borderId="32" xfId="169" applyFont="1" applyBorder="1" applyAlignment="1">
      <alignment horizontal="left" vertical="center" wrapText="1" indent="2"/>
    </xf>
    <xf numFmtId="41" fontId="49" fillId="0" borderId="32" xfId="106" applyFont="1" applyFill="1" applyBorder="1" applyAlignment="1">
      <alignment horizontal="center" vertical="center" shrinkToFit="1"/>
    </xf>
    <xf numFmtId="0" fontId="49" fillId="25" borderId="3" xfId="169" applyFont="1" applyFill="1" applyBorder="1" applyAlignment="1">
      <alignment horizontal="left" vertical="center" wrapText="1" indent="2"/>
    </xf>
    <xf numFmtId="41" fontId="49" fillId="25" borderId="3" xfId="106" applyFont="1" applyFill="1" applyBorder="1" applyAlignment="1">
      <alignment horizontal="center" vertical="center" shrinkToFit="1"/>
    </xf>
    <xf numFmtId="41" fontId="49" fillId="0" borderId="30" xfId="106" applyFont="1" applyFill="1" applyBorder="1" applyAlignment="1">
      <alignment horizontal="center" vertical="center"/>
    </xf>
    <xf numFmtId="41" fontId="47" fillId="26" borderId="3" xfId="106" applyFont="1" applyFill="1" applyBorder="1" applyAlignment="1">
      <alignment horizontal="center" vertical="center"/>
    </xf>
    <xf numFmtId="41" fontId="49" fillId="25" borderId="3" xfId="106" applyFont="1" applyFill="1" applyBorder="1" applyAlignment="1">
      <alignment horizontal="center" vertical="center"/>
    </xf>
    <xf numFmtId="41" fontId="62" fillId="0" borderId="3" xfId="106" applyFont="1" applyFill="1" applyBorder="1" applyAlignment="1">
      <alignment horizontal="center" vertical="center"/>
    </xf>
    <xf numFmtId="41" fontId="49" fillId="0" borderId="32" xfId="106" applyFont="1" applyFill="1" applyBorder="1" applyAlignment="1">
      <alignment horizontal="center" vertical="center"/>
    </xf>
    <xf numFmtId="41" fontId="49" fillId="0" borderId="28" xfId="106" applyFont="1" applyFill="1" applyBorder="1" applyAlignment="1">
      <alignment horizontal="center" vertical="center"/>
    </xf>
    <xf numFmtId="41" fontId="49" fillId="25" borderId="25" xfId="106" applyFont="1" applyFill="1" applyBorder="1" applyAlignment="1">
      <alignment horizontal="center" vertical="center"/>
    </xf>
    <xf numFmtId="41" fontId="49" fillId="25" borderId="26" xfId="106" applyFont="1" applyFill="1" applyBorder="1" applyAlignment="1">
      <alignment horizontal="center" vertical="center"/>
    </xf>
    <xf numFmtId="41" fontId="49" fillId="0" borderId="117" xfId="106" applyFont="1" applyFill="1" applyBorder="1" applyAlignment="1">
      <alignment horizontal="center" vertical="center"/>
    </xf>
    <xf numFmtId="41" fontId="49" fillId="0" borderId="31" xfId="106" applyFont="1" applyFill="1" applyBorder="1" applyAlignment="1">
      <alignment horizontal="center" vertical="center"/>
    </xf>
    <xf numFmtId="41" fontId="49" fillId="0" borderId="118" xfId="106" applyFont="1" applyFill="1" applyBorder="1" applyAlignment="1">
      <alignment horizontal="center" vertical="center"/>
    </xf>
    <xf numFmtId="41" fontId="49" fillId="0" borderId="33" xfId="106" applyFont="1" applyFill="1" applyBorder="1" applyAlignment="1">
      <alignment horizontal="center" vertical="center"/>
    </xf>
    <xf numFmtId="41" fontId="49" fillId="0" borderId="116" xfId="106" applyFont="1" applyFill="1" applyBorder="1" applyAlignment="1">
      <alignment horizontal="center" vertical="center"/>
    </xf>
    <xf numFmtId="41" fontId="49" fillId="0" borderId="29" xfId="106" applyFont="1" applyFill="1" applyBorder="1" applyAlignment="1">
      <alignment horizontal="center" vertical="center"/>
    </xf>
    <xf numFmtId="0" fontId="43" fillId="0" borderId="113" xfId="169" applyFont="1" applyBorder="1" applyAlignment="1">
      <alignment horizontal="center" vertical="center"/>
    </xf>
    <xf numFmtId="0" fontId="43" fillId="0" borderId="114" xfId="169" applyFont="1" applyBorder="1" applyAlignment="1">
      <alignment horizontal="center" vertical="center"/>
    </xf>
    <xf numFmtId="0" fontId="43" fillId="0" borderId="112" xfId="169" applyFont="1" applyBorder="1" applyAlignment="1">
      <alignment horizontal="center" vertical="center"/>
    </xf>
    <xf numFmtId="177" fontId="45" fillId="27" borderId="2" xfId="169" applyNumberFormat="1" applyFont="1" applyFill="1" applyBorder="1" applyAlignment="1">
      <alignment horizontal="center" vertical="center"/>
    </xf>
    <xf numFmtId="41" fontId="43" fillId="0" borderId="25" xfId="106" applyFont="1" applyBorder="1" applyAlignment="1">
      <alignment horizontal="center" vertical="center"/>
    </xf>
    <xf numFmtId="41" fontId="43" fillId="0" borderId="2" xfId="106" applyFont="1" applyBorder="1" applyAlignment="1">
      <alignment horizontal="center" vertical="center"/>
    </xf>
    <xf numFmtId="41" fontId="43" fillId="0" borderId="26" xfId="106" applyFont="1" applyBorder="1" applyAlignment="1">
      <alignment horizontal="center" vertical="center"/>
    </xf>
    <xf numFmtId="41" fontId="47" fillId="26" borderId="25" xfId="106" applyFont="1" applyFill="1" applyBorder="1" applyAlignment="1">
      <alignment horizontal="center" vertical="center" shrinkToFit="1"/>
    </xf>
    <xf numFmtId="41" fontId="47" fillId="26" borderId="26" xfId="106" applyFont="1" applyFill="1" applyBorder="1" applyAlignment="1">
      <alignment horizontal="center" vertical="center" shrinkToFit="1"/>
    </xf>
    <xf numFmtId="41" fontId="47" fillId="26" borderId="25" xfId="106" applyFont="1" applyFill="1" applyBorder="1" applyAlignment="1">
      <alignment horizontal="center" vertical="center"/>
    </xf>
    <xf numFmtId="41" fontId="47" fillId="26" borderId="26" xfId="106" applyFont="1" applyFill="1" applyBorder="1" applyAlignment="1">
      <alignment horizontal="center" vertical="center"/>
    </xf>
    <xf numFmtId="41" fontId="43" fillId="0" borderId="20" xfId="106" applyFont="1" applyBorder="1" applyAlignment="1">
      <alignment horizontal="center" vertical="center"/>
    </xf>
    <xf numFmtId="41" fontId="43" fillId="0" borderId="21" xfId="106" applyFont="1" applyBorder="1" applyAlignment="1">
      <alignment horizontal="center" vertical="center"/>
    </xf>
    <xf numFmtId="41" fontId="43" fillId="0" borderId="115" xfId="106" applyFont="1" applyBorder="1" applyAlignment="1">
      <alignment horizontal="center" vertical="center"/>
    </xf>
    <xf numFmtId="0" fontId="43" fillId="0" borderId="25" xfId="169" applyFont="1" applyBorder="1" applyAlignment="1">
      <alignment horizontal="left" vertical="center"/>
    </xf>
    <xf numFmtId="0" fontId="43" fillId="0" borderId="2" xfId="169" applyFont="1" applyBorder="1" applyAlignment="1">
      <alignment horizontal="left" vertical="center"/>
    </xf>
    <xf numFmtId="0" fontId="43" fillId="0" borderId="26" xfId="169" applyFont="1" applyBorder="1" applyAlignment="1">
      <alignment horizontal="left" vertical="center"/>
    </xf>
    <xf numFmtId="0" fontId="47" fillId="0" borderId="33" xfId="169" applyFont="1" applyBorder="1" applyAlignment="1">
      <alignment horizontal="left" vertical="center" wrapText="1" indent="2"/>
    </xf>
    <xf numFmtId="177" fontId="45" fillId="27" borderId="2" xfId="169" applyNumberFormat="1" applyFont="1" applyFill="1" applyBorder="1" applyAlignment="1">
      <alignment horizontal="left" vertical="center"/>
    </xf>
    <xf numFmtId="0" fontId="65" fillId="0" borderId="0" xfId="169" applyFont="1" applyAlignment="1">
      <alignment horizontal="center"/>
    </xf>
    <xf numFmtId="14" fontId="43" fillId="0" borderId="133" xfId="106" applyNumberFormat="1" applyFont="1" applyBorder="1" applyAlignment="1">
      <alignment horizontal="center" vertical="center"/>
    </xf>
    <xf numFmtId="14" fontId="43" fillId="0" borderId="131" xfId="106" applyNumberFormat="1" applyFont="1" applyBorder="1" applyAlignment="1">
      <alignment horizontal="center" vertical="center"/>
    </xf>
    <xf numFmtId="14" fontId="43" fillId="0" borderId="132" xfId="106" applyNumberFormat="1" applyFont="1" applyBorder="1" applyAlignment="1">
      <alignment horizontal="center" vertical="center"/>
    </xf>
    <xf numFmtId="0" fontId="43" fillId="0" borderId="84" xfId="169" applyFont="1" applyBorder="1" applyAlignment="1">
      <alignment horizontal="center" vertical="center"/>
    </xf>
    <xf numFmtId="0" fontId="43" fillId="0" borderId="85" xfId="169" applyFont="1" applyBorder="1" applyAlignment="1">
      <alignment horizontal="center" vertical="center"/>
    </xf>
    <xf numFmtId="0" fontId="43" fillId="0" borderId="126" xfId="169" applyFont="1" applyBorder="1" applyAlignment="1">
      <alignment horizontal="center" vertical="center"/>
    </xf>
    <xf numFmtId="0" fontId="43" fillId="0" borderId="127" xfId="169" applyFont="1" applyBorder="1" applyAlignment="1">
      <alignment horizontal="center" vertical="center"/>
    </xf>
    <xf numFmtId="0" fontId="43" fillId="0" borderId="129" xfId="169" applyFont="1" applyBorder="1" applyAlignment="1">
      <alignment horizontal="center" vertical="center"/>
    </xf>
    <xf numFmtId="0" fontId="43" fillId="0" borderId="128" xfId="169" applyFont="1" applyBorder="1" applyAlignment="1">
      <alignment horizontal="center" vertical="center"/>
    </xf>
    <xf numFmtId="0" fontId="43" fillId="0" borderId="136" xfId="181" applyFont="1" applyBorder="1" applyAlignment="1">
      <alignment horizontal="left" vertical="center"/>
    </xf>
    <xf numFmtId="0" fontId="43" fillId="0" borderId="137" xfId="181" applyFont="1" applyBorder="1" applyAlignment="1">
      <alignment horizontal="left" vertical="center"/>
    </xf>
    <xf numFmtId="0" fontId="43" fillId="0" borderId="138" xfId="181" applyFont="1" applyBorder="1" applyAlignment="1">
      <alignment horizontal="left" vertical="center"/>
    </xf>
    <xf numFmtId="0" fontId="43" fillId="0" borderId="34" xfId="181" applyFont="1" applyBorder="1" applyAlignment="1">
      <alignment horizontal="left" vertical="center"/>
    </xf>
    <xf numFmtId="0" fontId="43" fillId="0" borderId="24" xfId="181" applyFont="1" applyBorder="1" applyAlignment="1">
      <alignment horizontal="left" vertical="center"/>
    </xf>
    <xf numFmtId="0" fontId="43" fillId="0" borderId="17" xfId="181" applyFont="1" applyBorder="1" applyAlignment="1">
      <alignment horizontal="left" vertical="center"/>
    </xf>
    <xf numFmtId="0" fontId="67" fillId="28" borderId="76" xfId="210" applyFont="1" applyFill="1" applyBorder="1" applyAlignment="1">
      <alignment horizontal="center" vertical="center"/>
    </xf>
    <xf numFmtId="0" fontId="67" fillId="28" borderId="58" xfId="210" applyFont="1" applyFill="1" applyBorder="1" applyAlignment="1">
      <alignment horizontal="center" vertical="center"/>
    </xf>
    <xf numFmtId="0" fontId="67" fillId="28" borderId="77" xfId="210" applyFont="1" applyFill="1" applyBorder="1" applyAlignment="1">
      <alignment horizontal="center" vertical="center"/>
    </xf>
    <xf numFmtId="0" fontId="67" fillId="28" borderId="135" xfId="210" applyFont="1" applyFill="1" applyBorder="1" applyAlignment="1">
      <alignment horizontal="center" vertical="center"/>
    </xf>
    <xf numFmtId="0" fontId="70" fillId="28" borderId="21" xfId="210" applyFont="1" applyFill="1" applyBorder="1" applyAlignment="1">
      <alignment horizontal="center" vertical="center"/>
    </xf>
    <xf numFmtId="0" fontId="76" fillId="28" borderId="67" xfId="169" applyFont="1" applyFill="1" applyBorder="1" applyAlignment="1">
      <alignment horizontal="center" vertical="center"/>
    </xf>
    <xf numFmtId="0" fontId="76" fillId="28" borderId="4" xfId="169" applyFont="1" applyFill="1" applyBorder="1" applyAlignment="1">
      <alignment horizontal="center" vertical="center"/>
    </xf>
    <xf numFmtId="0" fontId="76" fillId="28" borderId="45" xfId="169" applyFont="1" applyFill="1" applyBorder="1" applyAlignment="1">
      <alignment horizontal="center" vertical="center"/>
    </xf>
    <xf numFmtId="0" fontId="67" fillId="28" borderId="75" xfId="210" applyFont="1" applyFill="1" applyBorder="1" applyAlignment="1">
      <alignment horizontal="center" vertical="center"/>
    </xf>
    <xf numFmtId="0" fontId="67" fillId="28" borderId="125" xfId="210" applyFont="1" applyFill="1" applyBorder="1" applyAlignment="1">
      <alignment horizontal="center" vertical="center"/>
    </xf>
    <xf numFmtId="0" fontId="67" fillId="28" borderId="139" xfId="210" applyFont="1" applyFill="1" applyBorder="1" applyAlignment="1">
      <alignment horizontal="center" vertical="center"/>
    </xf>
    <xf numFmtId="0" fontId="67" fillId="28" borderId="140" xfId="210" applyFont="1" applyFill="1" applyBorder="1" applyAlignment="1">
      <alignment horizontal="center" vertical="center"/>
    </xf>
    <xf numFmtId="0" fontId="43" fillId="0" borderId="55" xfId="181" applyFont="1" applyBorder="1" applyAlignment="1">
      <alignment horizontal="center" vertical="center"/>
    </xf>
    <xf numFmtId="0" fontId="43" fillId="0" borderId="56" xfId="181" applyFont="1" applyBorder="1" applyAlignment="1">
      <alignment horizontal="center" vertical="center"/>
    </xf>
    <xf numFmtId="0" fontId="43" fillId="0" borderId="57" xfId="181" applyFont="1" applyBorder="1" applyAlignment="1">
      <alignment horizontal="center" vertical="center"/>
    </xf>
    <xf numFmtId="14" fontId="43" fillId="0" borderId="127" xfId="169" applyNumberFormat="1" applyFont="1" applyBorder="1" applyAlignment="1">
      <alignment horizontal="center" vertical="center"/>
    </xf>
    <xf numFmtId="0" fontId="43" fillId="0" borderId="136" xfId="181" applyFont="1" applyBorder="1" applyAlignment="1">
      <alignment horizontal="center" vertical="center"/>
    </xf>
    <xf numFmtId="0" fontId="43" fillId="0" borderId="137" xfId="181" applyFont="1" applyBorder="1" applyAlignment="1">
      <alignment horizontal="center" vertical="center"/>
    </xf>
    <xf numFmtId="0" fontId="43" fillId="0" borderId="138" xfId="181" applyFont="1" applyBorder="1" applyAlignment="1">
      <alignment horizontal="center" vertical="center"/>
    </xf>
    <xf numFmtId="0" fontId="43" fillId="0" borderId="34" xfId="181" applyFont="1" applyBorder="1" applyAlignment="1">
      <alignment horizontal="center" vertical="center"/>
    </xf>
    <xf numFmtId="0" fontId="43" fillId="0" borderId="24" xfId="181" applyFont="1" applyBorder="1" applyAlignment="1">
      <alignment horizontal="center" vertical="center"/>
    </xf>
    <xf numFmtId="0" fontId="43" fillId="0" borderId="17" xfId="181" applyFont="1" applyBorder="1" applyAlignment="1">
      <alignment horizontal="center" vertical="center"/>
    </xf>
    <xf numFmtId="0" fontId="67" fillId="0" borderId="76" xfId="210" applyFont="1" applyBorder="1" applyAlignment="1">
      <alignment horizontal="center" vertical="center"/>
    </xf>
    <xf numFmtId="0" fontId="67" fillId="0" borderId="58" xfId="210" applyFont="1" applyBorder="1" applyAlignment="1">
      <alignment horizontal="center" vertical="center"/>
    </xf>
    <xf numFmtId="0" fontId="67" fillId="0" borderId="77" xfId="210" applyFont="1" applyBorder="1" applyAlignment="1">
      <alignment horizontal="center" vertical="center"/>
    </xf>
    <xf numFmtId="0" fontId="67" fillId="0" borderId="135" xfId="210" applyFont="1" applyBorder="1" applyAlignment="1">
      <alignment horizontal="center" vertical="center"/>
    </xf>
    <xf numFmtId="0" fontId="70" fillId="0" borderId="21" xfId="210" applyFont="1" applyBorder="1" applyAlignment="1">
      <alignment horizontal="center" vertical="center"/>
    </xf>
    <xf numFmtId="0" fontId="76" fillId="0" borderId="67" xfId="169" applyFont="1" applyBorder="1" applyAlignment="1">
      <alignment horizontal="center" vertical="center"/>
    </xf>
    <xf numFmtId="0" fontId="76" fillId="0" borderId="4" xfId="169" applyFont="1" applyBorder="1" applyAlignment="1">
      <alignment horizontal="center" vertical="center"/>
    </xf>
    <xf numFmtId="0" fontId="76" fillId="0" borderId="45" xfId="169" applyFont="1" applyBorder="1" applyAlignment="1">
      <alignment horizontal="center" vertical="center"/>
    </xf>
    <xf numFmtId="0" fontId="67" fillId="0" borderId="75" xfId="210" applyFont="1" applyBorder="1" applyAlignment="1">
      <alignment horizontal="center" vertical="center"/>
    </xf>
    <xf numFmtId="0" fontId="67" fillId="0" borderId="125" xfId="210" applyFont="1" applyBorder="1" applyAlignment="1">
      <alignment horizontal="center" vertical="center"/>
    </xf>
    <xf numFmtId="0" fontId="67" fillId="0" borderId="139" xfId="210" applyFont="1" applyBorder="1" applyAlignment="1">
      <alignment horizontal="center" vertical="center"/>
    </xf>
    <xf numFmtId="0" fontId="67" fillId="0" borderId="140" xfId="210" applyFont="1" applyBorder="1" applyAlignment="1">
      <alignment horizontal="center" vertical="center"/>
    </xf>
    <xf numFmtId="41" fontId="60" fillId="0" borderId="141" xfId="104" applyFont="1" applyBorder="1" applyAlignment="1">
      <alignment horizontal="center" vertical="center"/>
    </xf>
    <xf numFmtId="41" fontId="60" fillId="0" borderId="142" xfId="104" applyFont="1" applyBorder="1" applyAlignment="1">
      <alignment horizontal="center" vertical="center"/>
    </xf>
    <xf numFmtId="41" fontId="60" fillId="0" borderId="143" xfId="104" applyFont="1" applyBorder="1" applyAlignment="1">
      <alignment horizontal="center" vertical="center"/>
    </xf>
    <xf numFmtId="41" fontId="60" fillId="0" borderId="144" xfId="104" applyFont="1" applyBorder="1" applyAlignment="1">
      <alignment horizontal="center" vertical="center"/>
    </xf>
    <xf numFmtId="41" fontId="60" fillId="0" borderId="145" xfId="104" applyFont="1" applyBorder="1" applyAlignment="1">
      <alignment horizontal="center" vertical="center"/>
    </xf>
    <xf numFmtId="41" fontId="60" fillId="0" borderId="146" xfId="104" applyFont="1" applyBorder="1" applyAlignment="1">
      <alignment horizontal="center" vertical="center"/>
    </xf>
    <xf numFmtId="41" fontId="60" fillId="0" borderId="20" xfId="104" applyFont="1" applyBorder="1" applyAlignment="1">
      <alignment horizontal="center" vertical="center"/>
    </xf>
    <xf numFmtId="41" fontId="60" fillId="0" borderId="21" xfId="104" applyFont="1" applyBorder="1" applyAlignment="1">
      <alignment horizontal="center" vertical="center"/>
    </xf>
    <xf numFmtId="41" fontId="60" fillId="0" borderId="66" xfId="104" applyFont="1" applyBorder="1" applyAlignment="1">
      <alignment horizontal="center" vertical="center"/>
    </xf>
    <xf numFmtId="41" fontId="60" fillId="0" borderId="148" xfId="104" applyFont="1" applyBorder="1" applyAlignment="1">
      <alignment horizontal="center" vertical="center"/>
    </xf>
    <xf numFmtId="41" fontId="60" fillId="0" borderId="149" xfId="104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41" fontId="60" fillId="0" borderId="147" xfId="104" applyFont="1" applyBorder="1" applyAlignment="1">
      <alignment horizontal="center" vertical="center"/>
    </xf>
    <xf numFmtId="41" fontId="60" fillId="0" borderId="147" xfId="104" applyFont="1" applyBorder="1" applyAlignment="1">
      <alignment horizontal="left" vertical="center"/>
    </xf>
    <xf numFmtId="41" fontId="60" fillId="0" borderId="142" xfId="104" applyFont="1" applyBorder="1" applyAlignment="1">
      <alignment horizontal="left" vertical="center"/>
    </xf>
    <xf numFmtId="41" fontId="60" fillId="0" borderId="143" xfId="104" applyFont="1" applyBorder="1" applyAlignment="1">
      <alignment horizontal="left" vertical="center"/>
    </xf>
    <xf numFmtId="41" fontId="60" fillId="0" borderId="148" xfId="104" applyFont="1" applyBorder="1" applyAlignment="1">
      <alignment horizontal="left" vertical="center"/>
    </xf>
    <xf numFmtId="41" fontId="60" fillId="0" borderId="145" xfId="104" applyFont="1" applyBorder="1" applyAlignment="1">
      <alignment horizontal="left" vertical="center"/>
    </xf>
    <xf numFmtId="41" fontId="60" fillId="0" borderId="146" xfId="104" applyFont="1" applyBorder="1" applyAlignment="1">
      <alignment horizontal="left" vertical="center"/>
    </xf>
    <xf numFmtId="41" fontId="60" fillId="0" borderId="34" xfId="104" applyFont="1" applyBorder="1" applyAlignment="1">
      <alignment horizontal="left" vertical="center"/>
    </xf>
    <xf numFmtId="41" fontId="60" fillId="0" borderId="24" xfId="104" applyFont="1" applyBorder="1" applyAlignment="1">
      <alignment horizontal="left" vertical="center"/>
    </xf>
    <xf numFmtId="41" fontId="60" fillId="0" borderId="17" xfId="104" applyFont="1" applyBorder="1" applyAlignment="1">
      <alignment horizontal="left" vertical="center"/>
    </xf>
    <xf numFmtId="41" fontId="60" fillId="0" borderId="141" xfId="104" applyFont="1" applyBorder="1" applyAlignment="1">
      <alignment horizontal="left" vertical="center"/>
    </xf>
    <xf numFmtId="41" fontId="60" fillId="0" borderId="144" xfId="104" applyFont="1" applyBorder="1" applyAlignment="1">
      <alignment horizontal="left" vertical="center"/>
    </xf>
    <xf numFmtId="0" fontId="77" fillId="31" borderId="71" xfId="0" applyFont="1" applyFill="1" applyBorder="1" applyAlignment="1">
      <alignment horizontal="center" vertical="center"/>
    </xf>
    <xf numFmtId="0" fontId="0" fillId="31" borderId="84" xfId="0" applyFill="1" applyBorder="1" applyAlignment="1">
      <alignment horizontal="center" vertical="center"/>
    </xf>
    <xf numFmtId="0" fontId="0" fillId="31" borderId="85" xfId="0" applyFill="1" applyBorder="1" applyAlignment="1">
      <alignment horizontal="center" vertical="center"/>
    </xf>
    <xf numFmtId="0" fontId="0" fillId="31" borderId="37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1" borderId="38" xfId="0" applyFill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15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61" fillId="0" borderId="38" xfId="0" applyFont="1" applyBorder="1" applyAlignment="1">
      <alignment horizontal="center" vertical="center"/>
    </xf>
    <xf numFmtId="0" fontId="61" fillId="0" borderId="89" xfId="0" applyFont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0" borderId="21" xfId="0" applyFont="1" applyBorder="1" applyAlignment="1">
      <alignment horizontal="center" vertical="center"/>
    </xf>
    <xf numFmtId="0" fontId="61" fillId="0" borderId="66" xfId="0" applyFon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0" fontId="61" fillId="0" borderId="24" xfId="0" applyFont="1" applyBorder="1" applyAlignment="1">
      <alignment horizontal="center" vertical="center"/>
    </xf>
    <xf numFmtId="0" fontId="61" fillId="0" borderId="134" xfId="0" applyFont="1" applyBorder="1" applyAlignment="1">
      <alignment horizontal="center" vertical="center"/>
    </xf>
    <xf numFmtId="0" fontId="61" fillId="0" borderId="44" xfId="0" applyFont="1" applyBorder="1" applyAlignment="1">
      <alignment horizontal="center" vertical="center"/>
    </xf>
    <xf numFmtId="0" fontId="61" fillId="0" borderId="115" xfId="0" applyFont="1" applyBorder="1" applyAlignment="1">
      <alignment horizontal="center" vertical="center"/>
    </xf>
    <xf numFmtId="0" fontId="61" fillId="0" borderId="49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1" fillId="0" borderId="130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1" fillId="0" borderId="20" xfId="0" applyFont="1" applyBorder="1" applyAlignment="1">
      <alignment horizontal="center" vertical="center" wrapText="1"/>
    </xf>
    <xf numFmtId="0" fontId="61" fillId="0" borderId="21" xfId="0" applyFont="1" applyBorder="1" applyAlignment="1">
      <alignment horizontal="center" vertical="center" wrapText="1"/>
    </xf>
    <xf numFmtId="0" fontId="61" fillId="0" borderId="115" xfId="0" applyFont="1" applyBorder="1" applyAlignment="1">
      <alignment horizontal="center" vertical="center" wrapText="1"/>
    </xf>
    <xf numFmtId="0" fontId="61" fillId="0" borderId="22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1" fillId="0" borderId="23" xfId="0" applyFont="1" applyBorder="1" applyAlignment="1">
      <alignment horizontal="center" vertical="center" wrapText="1"/>
    </xf>
    <xf numFmtId="0" fontId="61" fillId="0" borderId="34" xfId="0" applyFont="1" applyBorder="1" applyAlignment="1">
      <alignment horizontal="center" vertical="center" wrapText="1"/>
    </xf>
    <xf numFmtId="0" fontId="61" fillId="0" borderId="24" xfId="0" applyFont="1" applyBorder="1" applyAlignment="1">
      <alignment horizontal="center" vertical="center" wrapText="1"/>
    </xf>
    <xf numFmtId="0" fontId="61" fillId="0" borderId="17" xfId="0" applyFont="1" applyBorder="1" applyAlignment="1">
      <alignment horizontal="center" vertical="center" wrapText="1"/>
    </xf>
    <xf numFmtId="0" fontId="61" fillId="0" borderId="37" xfId="0" applyFont="1" applyBorder="1" applyAlignment="1">
      <alignment horizontal="center" vertical="center"/>
    </xf>
    <xf numFmtId="0" fontId="61" fillId="0" borderId="88" xfId="0" applyFont="1" applyBorder="1" applyAlignment="1">
      <alignment horizontal="center" vertical="center"/>
    </xf>
    <xf numFmtId="41" fontId="60" fillId="0" borderId="115" xfId="104" applyFont="1" applyBorder="1" applyAlignment="1">
      <alignment horizontal="center" vertical="center"/>
    </xf>
    <xf numFmtId="41" fontId="60" fillId="0" borderId="44" xfId="104" applyFont="1" applyBorder="1" applyAlignment="1">
      <alignment horizontal="left" vertical="center"/>
    </xf>
    <xf numFmtId="41" fontId="60" fillId="0" borderId="21" xfId="104" applyFont="1" applyBorder="1" applyAlignment="1">
      <alignment horizontal="left" vertical="center"/>
    </xf>
    <xf numFmtId="41" fontId="60" fillId="0" borderId="115" xfId="104" applyFont="1" applyBorder="1" applyAlignment="1">
      <alignment horizontal="left" vertical="center"/>
    </xf>
    <xf numFmtId="41" fontId="60" fillId="0" borderId="20" xfId="104" applyFont="1" applyBorder="1" applyAlignment="1">
      <alignment horizontal="left" vertical="center"/>
    </xf>
  </cellXfs>
  <cellStyles count="217">
    <cellStyle name="' '" xfId="1" xr:uid="{00000000-0005-0000-0000-000000000000}"/>
    <cellStyle name="??&amp;O?&amp;H?_x0008_??_x0007__x0001__x0001_" xfId="2" xr:uid="{00000000-0005-0000-0000-000001000000}"/>
    <cellStyle name="20% - 강조색1 2" xfId="3" xr:uid="{00000000-0005-0000-0000-000002000000}"/>
    <cellStyle name="20% - 강조색1 2 2" xfId="4" xr:uid="{00000000-0005-0000-0000-000003000000}"/>
    <cellStyle name="20% - 강조색2 2" xfId="5" xr:uid="{00000000-0005-0000-0000-000004000000}"/>
    <cellStyle name="20% - 강조색2 2 2" xfId="6" xr:uid="{00000000-0005-0000-0000-000005000000}"/>
    <cellStyle name="20% - 강조색3 2" xfId="7" xr:uid="{00000000-0005-0000-0000-000006000000}"/>
    <cellStyle name="20% - 강조색3 2 2" xfId="8" xr:uid="{00000000-0005-0000-0000-000007000000}"/>
    <cellStyle name="20% - 강조색4 2" xfId="9" xr:uid="{00000000-0005-0000-0000-000008000000}"/>
    <cellStyle name="20% - 강조색4 2 2" xfId="10" xr:uid="{00000000-0005-0000-0000-000009000000}"/>
    <cellStyle name="20% - 강조색5 2" xfId="11" xr:uid="{00000000-0005-0000-0000-00000A000000}"/>
    <cellStyle name="20% - 강조색5 2 2" xfId="12" xr:uid="{00000000-0005-0000-0000-00000B000000}"/>
    <cellStyle name="20% - 강조색6 2" xfId="13" xr:uid="{00000000-0005-0000-0000-00000C000000}"/>
    <cellStyle name="20% - 강조색6 2 2" xfId="14" xr:uid="{00000000-0005-0000-0000-00000D000000}"/>
    <cellStyle name="40% - 강조색1 2" xfId="15" xr:uid="{00000000-0005-0000-0000-00000E000000}"/>
    <cellStyle name="40% - 강조색1 2 2" xfId="16" xr:uid="{00000000-0005-0000-0000-00000F000000}"/>
    <cellStyle name="40% - 강조색2 2" xfId="17" xr:uid="{00000000-0005-0000-0000-000010000000}"/>
    <cellStyle name="40% - 강조색2 2 2" xfId="18" xr:uid="{00000000-0005-0000-0000-000011000000}"/>
    <cellStyle name="40% - 강조색3 2" xfId="19" xr:uid="{00000000-0005-0000-0000-000012000000}"/>
    <cellStyle name="40% - 강조색3 2 2" xfId="20" xr:uid="{00000000-0005-0000-0000-000013000000}"/>
    <cellStyle name="40% - 강조색4 2" xfId="21" xr:uid="{00000000-0005-0000-0000-000014000000}"/>
    <cellStyle name="40% - 강조색4 2 2" xfId="22" xr:uid="{00000000-0005-0000-0000-000015000000}"/>
    <cellStyle name="40% - 강조색5 2" xfId="23" xr:uid="{00000000-0005-0000-0000-000016000000}"/>
    <cellStyle name="40% - 강조색5 2 2" xfId="24" xr:uid="{00000000-0005-0000-0000-000017000000}"/>
    <cellStyle name="40% - 강조색6 2" xfId="25" xr:uid="{00000000-0005-0000-0000-000018000000}"/>
    <cellStyle name="40% - 강조색6 2 2" xfId="26" xr:uid="{00000000-0005-0000-0000-000019000000}"/>
    <cellStyle name="60% - 강조색1 2" xfId="27" xr:uid="{00000000-0005-0000-0000-00001A000000}"/>
    <cellStyle name="60% - 강조색2 2" xfId="28" xr:uid="{00000000-0005-0000-0000-00001B000000}"/>
    <cellStyle name="60% - 강조색3 2" xfId="29" xr:uid="{00000000-0005-0000-0000-00001C000000}"/>
    <cellStyle name="60% - 강조색4 2" xfId="30" xr:uid="{00000000-0005-0000-0000-00001D000000}"/>
    <cellStyle name="60% - 강조색5 2" xfId="31" xr:uid="{00000000-0005-0000-0000-00001E000000}"/>
    <cellStyle name="60% - 강조색6 2" xfId="32" xr:uid="{00000000-0005-0000-0000-00001F000000}"/>
    <cellStyle name="Ç¥ÁØ_ÀÏÀ§´ë°¡ (2)" xfId="33" xr:uid="{00000000-0005-0000-0000-000020000000}"/>
    <cellStyle name="category" xfId="34" xr:uid="{00000000-0005-0000-0000-000021000000}"/>
    <cellStyle name="comma zerodec" xfId="35" xr:uid="{00000000-0005-0000-0000-000022000000}"/>
    <cellStyle name="Comma0" xfId="36" xr:uid="{00000000-0005-0000-0000-000023000000}"/>
    <cellStyle name="Curren" xfId="37" xr:uid="{00000000-0005-0000-0000-000024000000}"/>
    <cellStyle name="Currency0" xfId="38" xr:uid="{00000000-0005-0000-0000-000025000000}"/>
    <cellStyle name="Currency1" xfId="39" xr:uid="{00000000-0005-0000-0000-000026000000}"/>
    <cellStyle name="Date" xfId="40" xr:uid="{00000000-0005-0000-0000-000027000000}"/>
    <cellStyle name="Dollar (zero dec)" xfId="41" xr:uid="{00000000-0005-0000-0000-000028000000}"/>
    <cellStyle name="Euro" xfId="42" xr:uid="{00000000-0005-0000-0000-000029000000}"/>
    <cellStyle name="F2" xfId="43" xr:uid="{00000000-0005-0000-0000-00002A000000}"/>
    <cellStyle name="F3" xfId="44" xr:uid="{00000000-0005-0000-0000-00002B000000}"/>
    <cellStyle name="F4" xfId="45" xr:uid="{00000000-0005-0000-0000-00002C000000}"/>
    <cellStyle name="F5" xfId="46" xr:uid="{00000000-0005-0000-0000-00002D000000}"/>
    <cellStyle name="F6" xfId="47" xr:uid="{00000000-0005-0000-0000-00002E000000}"/>
    <cellStyle name="F7" xfId="48" xr:uid="{00000000-0005-0000-0000-00002F000000}"/>
    <cellStyle name="F8" xfId="49" xr:uid="{00000000-0005-0000-0000-000030000000}"/>
    <cellStyle name="Fixed" xfId="50" xr:uid="{00000000-0005-0000-0000-000031000000}"/>
    <cellStyle name="Grey" xfId="51" xr:uid="{00000000-0005-0000-0000-000032000000}"/>
    <cellStyle name="HEADER" xfId="52" xr:uid="{00000000-0005-0000-0000-000033000000}"/>
    <cellStyle name="Header1" xfId="53" xr:uid="{00000000-0005-0000-0000-000034000000}"/>
    <cellStyle name="Header2" xfId="54" xr:uid="{00000000-0005-0000-0000-000035000000}"/>
    <cellStyle name="Heading 1" xfId="55" xr:uid="{00000000-0005-0000-0000-000036000000}"/>
    <cellStyle name="Heading 2" xfId="56" xr:uid="{00000000-0005-0000-0000-000037000000}"/>
    <cellStyle name="Heading1" xfId="57" xr:uid="{00000000-0005-0000-0000-000038000000}"/>
    <cellStyle name="Heading2" xfId="58" xr:uid="{00000000-0005-0000-0000-000039000000}"/>
    <cellStyle name="Input [yellow]" xfId="59" xr:uid="{00000000-0005-0000-0000-00003A000000}"/>
    <cellStyle name="Model" xfId="60" xr:uid="{00000000-0005-0000-0000-00003B000000}"/>
    <cellStyle name="Normal - Style1" xfId="61" xr:uid="{00000000-0005-0000-0000-00003C000000}"/>
    <cellStyle name="Normal - 유형1" xfId="62" xr:uid="{00000000-0005-0000-0000-00003D000000}"/>
    <cellStyle name="Percent [2]" xfId="63" xr:uid="{00000000-0005-0000-0000-00003E000000}"/>
    <cellStyle name="subhead" xfId="64" xr:uid="{00000000-0005-0000-0000-00003F000000}"/>
    <cellStyle name="Total" xfId="65" xr:uid="{00000000-0005-0000-0000-000040000000}"/>
    <cellStyle name="강조색1 2" xfId="66" xr:uid="{00000000-0005-0000-0000-000041000000}"/>
    <cellStyle name="강조색2 2" xfId="67" xr:uid="{00000000-0005-0000-0000-000042000000}"/>
    <cellStyle name="강조색3 2" xfId="68" xr:uid="{00000000-0005-0000-0000-000043000000}"/>
    <cellStyle name="강조색4 2" xfId="69" xr:uid="{00000000-0005-0000-0000-000044000000}"/>
    <cellStyle name="강조색5 2" xfId="70" xr:uid="{00000000-0005-0000-0000-000045000000}"/>
    <cellStyle name="강조색6 2" xfId="71" xr:uid="{00000000-0005-0000-0000-000046000000}"/>
    <cellStyle name="경고문 2" xfId="72" xr:uid="{00000000-0005-0000-0000-000047000000}"/>
    <cellStyle name="계산 2" xfId="73" xr:uid="{00000000-0005-0000-0000-000048000000}"/>
    <cellStyle name="고정소숫점" xfId="74" xr:uid="{00000000-0005-0000-0000-000049000000}"/>
    <cellStyle name="고정출력1" xfId="75" xr:uid="{00000000-0005-0000-0000-00004A000000}"/>
    <cellStyle name="고정출력2" xfId="76" xr:uid="{00000000-0005-0000-0000-00004B000000}"/>
    <cellStyle name="규격" xfId="77" xr:uid="{00000000-0005-0000-0000-00004C000000}"/>
    <cellStyle name="나쁨 2" xfId="78" xr:uid="{00000000-0005-0000-0000-00004D000000}"/>
    <cellStyle name="날짜" xfId="79" xr:uid="{00000000-0005-0000-0000-00004E000000}"/>
    <cellStyle name="내역서" xfId="80" xr:uid="{00000000-0005-0000-0000-00004F000000}"/>
    <cellStyle name="달러" xfId="81" xr:uid="{00000000-0005-0000-0000-000050000000}"/>
    <cellStyle name="뒤에 오는 하이퍼링크_1김해장유3차토공흙막이ver1(최초)" xfId="82" xr:uid="{00000000-0005-0000-0000-000051000000}"/>
    <cellStyle name="똿뗦먛귟 [0.00]_PRODUCT DETAIL Q1" xfId="83" xr:uid="{00000000-0005-0000-0000-000052000000}"/>
    <cellStyle name="똿뗦먛귟_PRODUCT DETAIL Q1" xfId="84" xr:uid="{00000000-0005-0000-0000-000053000000}"/>
    <cellStyle name="메모 2" xfId="85" xr:uid="{00000000-0005-0000-0000-000054000000}"/>
    <cellStyle name="믅됞 [0.00]_PRODUCT DETAIL Q1" xfId="86" xr:uid="{00000000-0005-0000-0000-000055000000}"/>
    <cellStyle name="믅됞_PRODUCT DETAIL Q1" xfId="87" xr:uid="{00000000-0005-0000-0000-000056000000}"/>
    <cellStyle name="백분율 2" xfId="88" xr:uid="{00000000-0005-0000-0000-000057000000}"/>
    <cellStyle name="백분율 2 2" xfId="89" xr:uid="{00000000-0005-0000-0000-000058000000}"/>
    <cellStyle name="백분율 2 3" xfId="90" xr:uid="{00000000-0005-0000-0000-000059000000}"/>
    <cellStyle name="백분율 3" xfId="91" xr:uid="{00000000-0005-0000-0000-00005A000000}"/>
    <cellStyle name="백분율 3 2" xfId="92" xr:uid="{00000000-0005-0000-0000-00005B000000}"/>
    <cellStyle name="백분율 3 2 2" xfId="93" xr:uid="{00000000-0005-0000-0000-00005C000000}"/>
    <cellStyle name="백분율 4" xfId="94" xr:uid="{00000000-0005-0000-0000-00005D000000}"/>
    <cellStyle name="백분율 4 2" xfId="95" xr:uid="{00000000-0005-0000-0000-00005E000000}"/>
    <cellStyle name="백분율 4 2 2" xfId="96" xr:uid="{00000000-0005-0000-0000-00005F000000}"/>
    <cellStyle name="백분율 4 3" xfId="97" xr:uid="{00000000-0005-0000-0000-000060000000}"/>
    <cellStyle name="백분율 5" xfId="98" xr:uid="{00000000-0005-0000-0000-000061000000}"/>
    <cellStyle name="보통 2" xfId="99" xr:uid="{00000000-0005-0000-0000-000062000000}"/>
    <cellStyle name="뷭?_BOOKSHIP" xfId="100" xr:uid="{00000000-0005-0000-0000-000063000000}"/>
    <cellStyle name="설명 텍스트 2" xfId="101" xr:uid="{00000000-0005-0000-0000-000064000000}"/>
    <cellStyle name="셀 확인 2" xfId="102" xr:uid="{00000000-0005-0000-0000-000065000000}"/>
    <cellStyle name="숫자(R)" xfId="103" xr:uid="{00000000-0005-0000-0000-000066000000}"/>
    <cellStyle name="쉼표 [0]" xfId="104" builtinId="6"/>
    <cellStyle name="쉼표 [0] 2" xfId="105" xr:uid="{00000000-0005-0000-0000-000068000000}"/>
    <cellStyle name="쉼표 [0] 2 10" xfId="106" xr:uid="{00000000-0005-0000-0000-000069000000}"/>
    <cellStyle name="쉼표 [0] 2 2" xfId="107" xr:uid="{00000000-0005-0000-0000-00006A000000}"/>
    <cellStyle name="쉼표 [0] 2 2 2" xfId="108" xr:uid="{00000000-0005-0000-0000-00006B000000}"/>
    <cellStyle name="쉼표 [0] 2 2 2 2" xfId="109" xr:uid="{00000000-0005-0000-0000-00006C000000}"/>
    <cellStyle name="쉼표 [0] 2 2 2 3" xfId="110" xr:uid="{00000000-0005-0000-0000-00006D000000}"/>
    <cellStyle name="쉼표 [0] 2 2 2 3 2" xfId="111" xr:uid="{00000000-0005-0000-0000-00006E000000}"/>
    <cellStyle name="쉼표 [0] 2 2 2 4" xfId="112" xr:uid="{00000000-0005-0000-0000-00006F000000}"/>
    <cellStyle name="쉼표 [0] 2 2 2 4 2" xfId="113" xr:uid="{00000000-0005-0000-0000-000070000000}"/>
    <cellStyle name="쉼표 [0] 2 2 2 5" xfId="114" xr:uid="{00000000-0005-0000-0000-000071000000}"/>
    <cellStyle name="쉼표 [0] 2 2 3" xfId="115" xr:uid="{00000000-0005-0000-0000-000072000000}"/>
    <cellStyle name="쉼표 [0] 2 3" xfId="116" xr:uid="{00000000-0005-0000-0000-000073000000}"/>
    <cellStyle name="쉼표 [0] 2 3 2" xfId="117" xr:uid="{00000000-0005-0000-0000-000074000000}"/>
    <cellStyle name="쉼표 [0] 2 3 3" xfId="118" xr:uid="{00000000-0005-0000-0000-000075000000}"/>
    <cellStyle name="쉼표 [0] 2 4" xfId="119" xr:uid="{00000000-0005-0000-0000-000076000000}"/>
    <cellStyle name="쉼표 [0] 2 5" xfId="120" xr:uid="{00000000-0005-0000-0000-000077000000}"/>
    <cellStyle name="쉼표 [0] 2 6" xfId="121" xr:uid="{00000000-0005-0000-0000-000078000000}"/>
    <cellStyle name="쉼표 [0] 2 7" xfId="122" xr:uid="{00000000-0005-0000-0000-000079000000}"/>
    <cellStyle name="쉼표 [0] 2 8" xfId="123" xr:uid="{00000000-0005-0000-0000-00007A000000}"/>
    <cellStyle name="쉼표 [0] 2 9" xfId="124" xr:uid="{00000000-0005-0000-0000-00007B000000}"/>
    <cellStyle name="쉼표 [0] 3" xfId="125" xr:uid="{00000000-0005-0000-0000-00007C000000}"/>
    <cellStyle name="쉼표 [0] 3 2" xfId="126" xr:uid="{00000000-0005-0000-0000-00007D000000}"/>
    <cellStyle name="쉼표 [0] 3 3" xfId="127" xr:uid="{00000000-0005-0000-0000-00007E000000}"/>
    <cellStyle name="쉼표 [0] 4" xfId="128" xr:uid="{00000000-0005-0000-0000-00007F000000}"/>
    <cellStyle name="쉼표 [0] 4 2" xfId="129" xr:uid="{00000000-0005-0000-0000-000080000000}"/>
    <cellStyle name="쉼표 [0] 4 3" xfId="130" xr:uid="{00000000-0005-0000-0000-000081000000}"/>
    <cellStyle name="쉼표 [0] 5" xfId="131" xr:uid="{00000000-0005-0000-0000-000082000000}"/>
    <cellStyle name="쉼표 [0] 5 2" xfId="132" xr:uid="{00000000-0005-0000-0000-000083000000}"/>
    <cellStyle name="쉼표 [0] 5 2 2" xfId="133" xr:uid="{00000000-0005-0000-0000-000084000000}"/>
    <cellStyle name="쉼표 [0] 5 2 3" xfId="134" xr:uid="{00000000-0005-0000-0000-000085000000}"/>
    <cellStyle name="쉼표 [0] 5 3" xfId="135" xr:uid="{00000000-0005-0000-0000-000086000000}"/>
    <cellStyle name="쉼표 [0] 5 4" xfId="136" xr:uid="{00000000-0005-0000-0000-000087000000}"/>
    <cellStyle name="쉼표 [0] 6" xfId="137" xr:uid="{00000000-0005-0000-0000-000088000000}"/>
    <cellStyle name="쉼표 [0] 7" xfId="138" xr:uid="{00000000-0005-0000-0000-000089000000}"/>
    <cellStyle name="쉼표 [0] 8" xfId="139" xr:uid="{00000000-0005-0000-0000-00008A000000}"/>
    <cellStyle name="연결된 셀 2" xfId="140" xr:uid="{00000000-0005-0000-0000-00008B000000}"/>
    <cellStyle name="요약 2" xfId="141" xr:uid="{00000000-0005-0000-0000-00008C000000}"/>
    <cellStyle name="입력 2" xfId="142" xr:uid="{00000000-0005-0000-0000-00008D000000}"/>
    <cellStyle name="자리수" xfId="143" xr:uid="{00000000-0005-0000-0000-00008E000000}"/>
    <cellStyle name="자리수0" xfId="144" xr:uid="{00000000-0005-0000-0000-00008F000000}"/>
    <cellStyle name="제목 1 2" xfId="145" xr:uid="{00000000-0005-0000-0000-000090000000}"/>
    <cellStyle name="제목 2 2" xfId="146" xr:uid="{00000000-0005-0000-0000-000091000000}"/>
    <cellStyle name="제목 3 2" xfId="147" xr:uid="{00000000-0005-0000-0000-000092000000}"/>
    <cellStyle name="제목 4 2" xfId="148" xr:uid="{00000000-0005-0000-0000-000093000000}"/>
    <cellStyle name="제목 5" xfId="149" xr:uid="{00000000-0005-0000-0000-000094000000}"/>
    <cellStyle name="좋음 2" xfId="150" xr:uid="{00000000-0005-0000-0000-000095000000}"/>
    <cellStyle name="지정되지 않음" xfId="151" xr:uid="{00000000-0005-0000-0000-000096000000}"/>
    <cellStyle name="출력 2" xfId="152" xr:uid="{00000000-0005-0000-0000-000097000000}"/>
    <cellStyle name="콤마 [0]_# 1" xfId="153" xr:uid="{00000000-0005-0000-0000-000098000000}"/>
    <cellStyle name="콤마 [금액]" xfId="154" xr:uid="{00000000-0005-0000-0000-000099000000}"/>
    <cellStyle name="콤마[ ]" xfId="155" xr:uid="{00000000-0005-0000-0000-00009A000000}"/>
    <cellStyle name="콤마[*]" xfId="156" xr:uid="{00000000-0005-0000-0000-00009B000000}"/>
    <cellStyle name="콤마[.]" xfId="157" xr:uid="{00000000-0005-0000-0000-00009C000000}"/>
    <cellStyle name="콤마[0]" xfId="158" xr:uid="{00000000-0005-0000-0000-00009D000000}"/>
    <cellStyle name="콤마_# 1" xfId="159" xr:uid="{00000000-0005-0000-0000-00009E000000}"/>
    <cellStyle name="통화 [0] 2" xfId="160" xr:uid="{00000000-0005-0000-0000-00009F000000}"/>
    <cellStyle name="통화 [0] 2 2" xfId="161" xr:uid="{00000000-0005-0000-0000-0000A0000000}"/>
    <cellStyle name="퍼센트" xfId="162" xr:uid="{00000000-0005-0000-0000-0000A1000000}"/>
    <cellStyle name="표준" xfId="0" builtinId="0"/>
    <cellStyle name="표준 10" xfId="163" xr:uid="{00000000-0005-0000-0000-0000A3000000}"/>
    <cellStyle name="표준 11" xfId="164" xr:uid="{00000000-0005-0000-0000-0000A4000000}"/>
    <cellStyle name="표준 11 2" xfId="165" xr:uid="{00000000-0005-0000-0000-0000A5000000}"/>
    <cellStyle name="표준 12" xfId="166" xr:uid="{00000000-0005-0000-0000-0000A6000000}"/>
    <cellStyle name="표준 2" xfId="167" xr:uid="{00000000-0005-0000-0000-0000A7000000}"/>
    <cellStyle name="표준 2 2" xfId="168" xr:uid="{00000000-0005-0000-0000-0000A8000000}"/>
    <cellStyle name="표준 2 2 2" xfId="169" xr:uid="{00000000-0005-0000-0000-0000A9000000}"/>
    <cellStyle name="표준 2 2 2 2" xfId="170" xr:uid="{00000000-0005-0000-0000-0000AA000000}"/>
    <cellStyle name="표준 2 3" xfId="171" xr:uid="{00000000-0005-0000-0000-0000AB000000}"/>
    <cellStyle name="표준 2 4" xfId="172" xr:uid="{00000000-0005-0000-0000-0000AC000000}"/>
    <cellStyle name="표준 2 5" xfId="173" xr:uid="{00000000-0005-0000-0000-0000AD000000}"/>
    <cellStyle name="표준 2 5 2" xfId="174" xr:uid="{00000000-0005-0000-0000-0000AE000000}"/>
    <cellStyle name="표준 2 6" xfId="175" xr:uid="{00000000-0005-0000-0000-0000AF000000}"/>
    <cellStyle name="표준 2 7" xfId="176" xr:uid="{00000000-0005-0000-0000-0000B0000000}"/>
    <cellStyle name="표준 2 8" xfId="177" xr:uid="{00000000-0005-0000-0000-0000B1000000}"/>
    <cellStyle name="표준 2 8 2" xfId="178" xr:uid="{00000000-0005-0000-0000-0000B2000000}"/>
    <cellStyle name="표준 3" xfId="179" xr:uid="{00000000-0005-0000-0000-0000B3000000}"/>
    <cellStyle name="표준 3 10" xfId="180" xr:uid="{00000000-0005-0000-0000-0000B4000000}"/>
    <cellStyle name="표준 3 2" xfId="181" xr:uid="{00000000-0005-0000-0000-0000B5000000}"/>
    <cellStyle name="표준 3 2 2" xfId="182" xr:uid="{00000000-0005-0000-0000-0000B6000000}"/>
    <cellStyle name="표준 3 3" xfId="183" xr:uid="{00000000-0005-0000-0000-0000B7000000}"/>
    <cellStyle name="표준 3 4" xfId="184" xr:uid="{00000000-0005-0000-0000-0000B8000000}"/>
    <cellStyle name="표준 3 5" xfId="185" xr:uid="{00000000-0005-0000-0000-0000B9000000}"/>
    <cellStyle name="표준 3 6" xfId="186" xr:uid="{00000000-0005-0000-0000-0000BA000000}"/>
    <cellStyle name="표준 3 7" xfId="187" xr:uid="{00000000-0005-0000-0000-0000BB000000}"/>
    <cellStyle name="표준 3 8" xfId="188" xr:uid="{00000000-0005-0000-0000-0000BC000000}"/>
    <cellStyle name="표준 3 9" xfId="189" xr:uid="{00000000-0005-0000-0000-0000BD000000}"/>
    <cellStyle name="표준 4" xfId="190" xr:uid="{00000000-0005-0000-0000-0000BE000000}"/>
    <cellStyle name="표준 4 2" xfId="191" xr:uid="{00000000-0005-0000-0000-0000BF000000}"/>
    <cellStyle name="표준 4 3" xfId="192" xr:uid="{00000000-0005-0000-0000-0000C0000000}"/>
    <cellStyle name="표준 4 4" xfId="193" xr:uid="{00000000-0005-0000-0000-0000C1000000}"/>
    <cellStyle name="표준 4 5" xfId="194" xr:uid="{00000000-0005-0000-0000-0000C2000000}"/>
    <cellStyle name="표준 4 6" xfId="195" xr:uid="{00000000-0005-0000-0000-0000C3000000}"/>
    <cellStyle name="표준 4 7" xfId="196" xr:uid="{00000000-0005-0000-0000-0000C4000000}"/>
    <cellStyle name="표준 4 8" xfId="197" xr:uid="{00000000-0005-0000-0000-0000C5000000}"/>
    <cellStyle name="표준 4 9" xfId="198" xr:uid="{00000000-0005-0000-0000-0000C6000000}"/>
    <cellStyle name="표준 5" xfId="199" xr:uid="{00000000-0005-0000-0000-0000C7000000}"/>
    <cellStyle name="표준 6" xfId="200" xr:uid="{00000000-0005-0000-0000-0000C8000000}"/>
    <cellStyle name="표준 7" xfId="201" xr:uid="{00000000-0005-0000-0000-0000C9000000}"/>
    <cellStyle name="표준 7 2" xfId="202" xr:uid="{00000000-0005-0000-0000-0000CA000000}"/>
    <cellStyle name="표준 7 3" xfId="203" xr:uid="{00000000-0005-0000-0000-0000CB000000}"/>
    <cellStyle name="표준 7 4" xfId="204" xr:uid="{00000000-0005-0000-0000-0000CC000000}"/>
    <cellStyle name="표준 7 5" xfId="205" xr:uid="{00000000-0005-0000-0000-0000CD000000}"/>
    <cellStyle name="표준 7 6" xfId="206" xr:uid="{00000000-0005-0000-0000-0000CE000000}"/>
    <cellStyle name="표준 7 7" xfId="207" xr:uid="{00000000-0005-0000-0000-0000CF000000}"/>
    <cellStyle name="표준 7 8" xfId="208" xr:uid="{00000000-0005-0000-0000-0000D0000000}"/>
    <cellStyle name="표준 7 9" xfId="209" xr:uid="{00000000-0005-0000-0000-0000D1000000}"/>
    <cellStyle name="표준 8" xfId="210" xr:uid="{00000000-0005-0000-0000-0000D2000000}"/>
    <cellStyle name="표준 9" xfId="211" xr:uid="{00000000-0005-0000-0000-0000D3000000}"/>
    <cellStyle name="표준 9 2" xfId="212" xr:uid="{00000000-0005-0000-0000-0000D4000000}"/>
    <cellStyle name="표준_(주) 진덕건설" xfId="213" xr:uid="{00000000-0005-0000-0000-0000D5000000}"/>
    <cellStyle name="합산" xfId="214" xr:uid="{00000000-0005-0000-0000-0000D6000000}"/>
    <cellStyle name="화폐기호" xfId="215" xr:uid="{00000000-0005-0000-0000-0000D7000000}"/>
    <cellStyle name="화폐기호0" xfId="216" xr:uid="{00000000-0005-0000-0000-0000D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2</xdr:row>
      <xdr:rowOff>66675</xdr:rowOff>
    </xdr:from>
    <xdr:to>
      <xdr:col>10</xdr:col>
      <xdr:colOff>1028700</xdr:colOff>
      <xdr:row>5</xdr:row>
      <xdr:rowOff>161925</xdr:rowOff>
    </xdr:to>
    <xdr:pic>
      <xdr:nvPicPr>
        <xdr:cNvPr id="3" name="그림 5">
          <a:extLst>
            <a:ext uri="{FF2B5EF4-FFF2-40B4-BE49-F238E27FC236}">
              <a16:creationId xmlns:a16="http://schemas.microsoft.com/office/drawing/2014/main" id="{5C2ABE3C-DFAE-468B-8942-6AB16C7E2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62000"/>
          <a:ext cx="7620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133350</xdr:colOff>
      <xdr:row>2</xdr:row>
      <xdr:rowOff>95250</xdr:rowOff>
    </xdr:from>
    <xdr:to>
      <xdr:col>13</xdr:col>
      <xdr:colOff>971550</xdr:colOff>
      <xdr:row>5</xdr:row>
      <xdr:rowOff>133350</xdr:rowOff>
    </xdr:to>
    <xdr:pic>
      <xdr:nvPicPr>
        <xdr:cNvPr id="58030" name="그림 5">
          <a:extLst>
            <a:ext uri="{FF2B5EF4-FFF2-40B4-BE49-F238E27FC236}">
              <a16:creationId xmlns:a16="http://schemas.microsoft.com/office/drawing/2014/main" id="{C1F4E32D-4BCF-03A7-C28F-8E81FD2E9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790575"/>
          <a:ext cx="838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2</xdr:row>
      <xdr:rowOff>95250</xdr:rowOff>
    </xdr:from>
    <xdr:to>
      <xdr:col>13</xdr:col>
      <xdr:colOff>1028700</xdr:colOff>
      <xdr:row>5</xdr:row>
      <xdr:rowOff>133350</xdr:rowOff>
    </xdr:to>
    <xdr:pic>
      <xdr:nvPicPr>
        <xdr:cNvPr id="2" name="그림 5">
          <a:extLst>
            <a:ext uri="{FF2B5EF4-FFF2-40B4-BE49-F238E27FC236}">
              <a16:creationId xmlns:a16="http://schemas.microsoft.com/office/drawing/2014/main" id="{C513E4CC-FEA4-4D40-B29C-FE577FE39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9125" y="790575"/>
          <a:ext cx="838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2</xdr:row>
      <xdr:rowOff>57150</xdr:rowOff>
    </xdr:from>
    <xdr:to>
      <xdr:col>13</xdr:col>
      <xdr:colOff>1123950</xdr:colOff>
      <xdr:row>5</xdr:row>
      <xdr:rowOff>142875</xdr:rowOff>
    </xdr:to>
    <xdr:pic>
      <xdr:nvPicPr>
        <xdr:cNvPr id="63549" name="그림 5">
          <a:extLst>
            <a:ext uri="{FF2B5EF4-FFF2-40B4-BE49-F238E27FC236}">
              <a16:creationId xmlns:a16="http://schemas.microsoft.com/office/drawing/2014/main" id="{10FEEED0-E173-9302-1405-3D2A194A3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666750"/>
          <a:ext cx="838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2</xdr:row>
      <xdr:rowOff>57150</xdr:rowOff>
    </xdr:from>
    <xdr:to>
      <xdr:col>13</xdr:col>
      <xdr:colOff>1123950</xdr:colOff>
      <xdr:row>5</xdr:row>
      <xdr:rowOff>142875</xdr:rowOff>
    </xdr:to>
    <xdr:pic>
      <xdr:nvPicPr>
        <xdr:cNvPr id="2" name="그림 5">
          <a:extLst>
            <a:ext uri="{FF2B5EF4-FFF2-40B4-BE49-F238E27FC236}">
              <a16:creationId xmlns:a16="http://schemas.microsoft.com/office/drawing/2014/main" id="{4CC80C5A-6F86-47E9-BA71-C068D003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6325" y="666750"/>
          <a:ext cx="838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2</xdr:row>
      <xdr:rowOff>152400</xdr:rowOff>
    </xdr:from>
    <xdr:to>
      <xdr:col>10</xdr:col>
      <xdr:colOff>781050</xdr:colOff>
      <xdr:row>5</xdr:row>
      <xdr:rowOff>95250</xdr:rowOff>
    </xdr:to>
    <xdr:pic>
      <xdr:nvPicPr>
        <xdr:cNvPr id="2" name="그림 5">
          <a:extLst>
            <a:ext uri="{FF2B5EF4-FFF2-40B4-BE49-F238E27FC236}">
              <a16:creationId xmlns:a16="http://schemas.microsoft.com/office/drawing/2014/main" id="{571E3745-6AF4-4D85-9AEE-028757EA7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904875"/>
          <a:ext cx="7143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2</xdr:row>
      <xdr:rowOff>152400</xdr:rowOff>
    </xdr:from>
    <xdr:to>
      <xdr:col>10</xdr:col>
      <xdr:colOff>781050</xdr:colOff>
      <xdr:row>5</xdr:row>
      <xdr:rowOff>57150</xdr:rowOff>
    </xdr:to>
    <xdr:pic>
      <xdr:nvPicPr>
        <xdr:cNvPr id="52" name="그림 5">
          <a:extLst>
            <a:ext uri="{FF2B5EF4-FFF2-40B4-BE49-F238E27FC236}">
              <a16:creationId xmlns:a16="http://schemas.microsoft.com/office/drawing/2014/main" id="{1B7DF090-AF67-437F-89A5-79FBADC31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228725"/>
          <a:ext cx="7143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2</xdr:row>
      <xdr:rowOff>152400</xdr:rowOff>
    </xdr:from>
    <xdr:to>
      <xdr:col>10</xdr:col>
      <xdr:colOff>781050</xdr:colOff>
      <xdr:row>5</xdr:row>
      <xdr:rowOff>57150</xdr:rowOff>
    </xdr:to>
    <xdr:pic>
      <xdr:nvPicPr>
        <xdr:cNvPr id="2" name="그림 5">
          <a:extLst>
            <a:ext uri="{FF2B5EF4-FFF2-40B4-BE49-F238E27FC236}">
              <a16:creationId xmlns:a16="http://schemas.microsoft.com/office/drawing/2014/main" id="{C2F9D4FB-46F4-4599-87A0-8F0469CA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228725"/>
          <a:ext cx="7143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2</xdr:row>
      <xdr:rowOff>152400</xdr:rowOff>
    </xdr:from>
    <xdr:to>
      <xdr:col>10</xdr:col>
      <xdr:colOff>781050</xdr:colOff>
      <xdr:row>5</xdr:row>
      <xdr:rowOff>57150</xdr:rowOff>
    </xdr:to>
    <xdr:pic>
      <xdr:nvPicPr>
        <xdr:cNvPr id="62251" name="그림 5">
          <a:extLst>
            <a:ext uri="{FF2B5EF4-FFF2-40B4-BE49-F238E27FC236}">
              <a16:creationId xmlns:a16="http://schemas.microsoft.com/office/drawing/2014/main" id="{7B809586-BBBA-8339-C26F-19DAE2A11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1228725"/>
          <a:ext cx="7143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4060;&#47029;&#44204;&#51201;/&#51204;&#51452;&#54868;&#49328;/&#48512;&#52380;&#49345;&#46041;/&#44060;&#47029;&#44204;&#51201;I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&#44060;&#47029;&#44204;&#51201;\&#51204;&#51452;&#54868;&#49328;\&#48512;&#52380;&#49345;&#46041;\&#44060;&#47029;&#44204;&#51201;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44592;&#53440;/&#50504;&#49328;5&#52264;&#49892;&#54665;112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44592;&#53440;\&#50504;&#49328;5&#52264;&#49892;&#54665;11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50500;&#54028;&#53944;/&#45824;&#51204;&#44288;&#51200;/2001&#49688;&#51452;/pc&#44032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50500;&#54028;&#53944;\&#45824;&#51204;&#44288;&#51200;\2001&#49688;&#51452;\pc&#44032;&#44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SI\DUJUNG2\&#46160;&#51221;2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MSI/DUJUNG2/&#46160;&#51221;2&#522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IMSI\DUJUNG2\&#46160;&#51221;2&#522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&#51613;&#54217;/&#51613;&#54217;/&#45817;&#52488;&#46020;&#44553;CON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WINDOWS\TEMP\&#51613;&#54217;\&#51613;&#54217;\&#45817;&#52488;&#46020;&#44553;CON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50500;&#54028;&#53944;/&#45824;&#51204;&#44288;&#51200;/2001&#49688;&#51452;/2000/2.&#49688;&#51452;/4.&#50857;&#51648;/&#51116;&#44060;&#48156;&#51116;&#44148;&#52629;/&#51648;&#51656;&#49368;&#5454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50500;&#54028;&#53944;\&#45824;&#51204;&#44288;&#51200;\2001&#49688;&#51452;\2000\2.&#49688;&#51452;\4.&#50857;&#51648;\&#51116;&#44060;&#48156;&#51116;&#44148;&#52629;\&#51648;&#51656;&#49368;&#545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상"/>
      <sheetName val="PILE"/>
      <sheetName val="흙막이"/>
      <sheetName val="토목"/>
      <sheetName val="개략A"/>
      <sheetName val="개략B"/>
      <sheetName val="개략C"/>
      <sheetName val="개략D"/>
      <sheetName val="실행예상A"/>
      <sheetName val="실행예상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    <sheetName val="개략경비C"/>
      <sheetName val="개략경비D"/>
      <sheetName val="Sheet2"/>
      <sheetName val="현금"/>
      <sheetName val="I一般比"/>
      <sheetName val="설직재-1"/>
      <sheetName val="#REF"/>
      <sheetName val="N賃率-職"/>
      <sheetName val="실행내역"/>
      <sheetName val="제직재"/>
      <sheetName val="경비"/>
      <sheetName val="실    단"/>
      <sheetName val="제작비추산총괄표"/>
      <sheetName val="골조시행"/>
      <sheetName val="금액내역서"/>
      <sheetName val="가격조사서"/>
      <sheetName val="4.정산(을지검토서)"/>
      <sheetName val="변경(을지검토서)"/>
      <sheetName val="3.정산(을지)"/>
      <sheetName val="EQT-ESTN"/>
      <sheetName val="1.설계기준"/>
      <sheetName val="개략견적II"/>
      <sheetName val="Sheet1"/>
      <sheetName val="sort"/>
      <sheetName val="일반"/>
      <sheetName val="지질조사분석"/>
      <sheetName val="연돌일위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상"/>
      <sheetName val="PILE"/>
      <sheetName val="흙막이"/>
      <sheetName val="토목"/>
      <sheetName val="개략A"/>
      <sheetName val="개략B"/>
      <sheetName val="개략C"/>
      <sheetName val="개략D"/>
      <sheetName val="실행예상A"/>
      <sheetName val="실행예상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    <sheetName val="개략경비C"/>
      <sheetName val="개략경비D"/>
      <sheetName val="Sheet2"/>
      <sheetName val="현금"/>
      <sheetName val="I一般比"/>
      <sheetName val="설직재-1"/>
      <sheetName val="#REF"/>
      <sheetName val="N賃率-職"/>
      <sheetName val="실행내역"/>
      <sheetName val="제직재"/>
      <sheetName val="경비"/>
      <sheetName val="실    단"/>
      <sheetName val="제작비추산총괄표"/>
      <sheetName val="골조시행"/>
      <sheetName val="금액내역서"/>
      <sheetName val="가격조사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지질조사"/>
      <sheetName val="안산5차실행1129"/>
      <sheetName val="가격조사서"/>
      <sheetName val="출자한도"/>
      <sheetName val="골조시행"/>
      <sheetName val="일위대가"/>
      <sheetName val="설계예산2"/>
      <sheetName val="예상"/>
      <sheetName val="금액내역서"/>
      <sheetName val="FB25JN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BOJUNGGM"/>
      <sheetName val="시운전(지역냉방)"/>
      <sheetName val="시운전연료비"/>
      <sheetName val="공사잡비"/>
      <sheetName val="내역"/>
      <sheetName val="공통,경비내역"/>
      <sheetName val="찍기"/>
      <sheetName val="Sheet1"/>
      <sheetName val="업무처리전"/>
      <sheetName val="밀양1호신설기초"/>
      <sheetName val="기본정보 입력"/>
      <sheetName val="단가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지질조사"/>
      <sheetName val="안산5차실행1129"/>
      <sheetName val="가격조사서"/>
      <sheetName val="출자한도"/>
      <sheetName val="골조시행"/>
      <sheetName val="일위대가"/>
      <sheetName val="설계예산2"/>
      <sheetName val="예상"/>
      <sheetName val="금액내역서"/>
      <sheetName val="FB25JN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BOJUNGGM"/>
      <sheetName val="시운전(지역냉방)"/>
      <sheetName val="시운전연료비"/>
      <sheetName val="공사잡비"/>
      <sheetName val="내역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가격"/>
      <sheetName val="#REF"/>
      <sheetName val="설계조건"/>
      <sheetName val="경비"/>
      <sheetName val="검토서"/>
      <sheetName val="프랜트면허"/>
      <sheetName val="토목주소"/>
      <sheetName val="시추주상도"/>
      <sheetName val="일위대가표"/>
      <sheetName val="Sheet2"/>
      <sheetName val="FB25JN"/>
      <sheetName val="품의서"/>
      <sheetName val="예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가격"/>
      <sheetName val="#REF"/>
      <sheetName val="설계조건"/>
      <sheetName val="경비"/>
      <sheetName val="검토서"/>
      <sheetName val="프랜트면허"/>
      <sheetName val="토목주소"/>
      <sheetName val="시추주상도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지질조사"/>
      <sheetName val="품셈TABLE"/>
      <sheetName val="설계기준"/>
      <sheetName val="내역1"/>
      <sheetName val="금액내역서"/>
      <sheetName val="데이타"/>
      <sheetName val="식재인부"/>
      <sheetName val="노임단가"/>
      <sheetName val="대림경상68억"/>
      <sheetName val="정공공사"/>
      <sheetName val="역T형교대(말뚝기초)"/>
      <sheetName val="중기조종사 단위단가"/>
      <sheetName val="인제내역"/>
      <sheetName val="Total"/>
      <sheetName val="건축"/>
      <sheetName val="공사비산출내역"/>
      <sheetName val="간접비"/>
      <sheetName val="간접"/>
      <sheetName val="BOM-Form A.1.III"/>
      <sheetName val="결재갑지"/>
      <sheetName val="설계명세서"/>
      <sheetName val="CB"/>
      <sheetName val="Sheet2"/>
      <sheetName val="목차"/>
      <sheetName val="두정2차"/>
      <sheetName val="6호기"/>
      <sheetName val="내역서2안"/>
      <sheetName val="견적서"/>
      <sheetName val="마감LIST-1"/>
      <sheetName val="입찰안"/>
      <sheetName val="단가"/>
      <sheetName val="DATA"/>
      <sheetName val="D"/>
      <sheetName val="경비2내역"/>
      <sheetName val="Sheet1"/>
      <sheetName val="설치공사비"/>
      <sheetName val="99노임기준"/>
      <sheetName val="단가대비표"/>
      <sheetName val="일위대가"/>
      <sheetName val="청산공사"/>
      <sheetName val="갑지"/>
      <sheetName val="내역서"/>
      <sheetName val="단가비교표"/>
      <sheetName val="#REF"/>
      <sheetName val="종현황"/>
      <sheetName val="예상"/>
      <sheetName val="국내"/>
      <sheetName val="BID"/>
      <sheetName val="경비"/>
      <sheetName val="현장"/>
      <sheetName val="제잡비"/>
      <sheetName val="공통가설"/>
      <sheetName val="관리자"/>
      <sheetName val="투찰내역서"/>
      <sheetName val="토목공사일반"/>
      <sheetName val="직원인원"/>
      <sheetName val="Sheet5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주관사업"/>
      <sheetName val="소비자가"/>
      <sheetName val="돌담교 상부수량"/>
      <sheetName val="개산공사비"/>
      <sheetName val="일위대가표"/>
      <sheetName val="별표 "/>
      <sheetName val="단면 (2)"/>
      <sheetName val="U-TYPE(1)"/>
      <sheetName val="대비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안전장치"/>
      <sheetName val="일위대가(계측기설치)"/>
      <sheetName val="공통비총괄표"/>
      <sheetName val="교대(A1-A2)"/>
      <sheetName val="내역"/>
      <sheetName val="월별전망"/>
      <sheetName val="물량내역서"/>
      <sheetName val="가설공사비"/>
      <sheetName val="도로구조공사비"/>
      <sheetName val="도로토공공사비"/>
      <sheetName val="여수토공사비"/>
      <sheetName val="관급자재대"/>
      <sheetName val="가시설단위수량"/>
      <sheetName val="SORCE1"/>
      <sheetName val="단위수량"/>
      <sheetName val="와동25-3(변경)"/>
      <sheetName val="8.석축단위(H=1.5M)"/>
      <sheetName val="H-PILE수량집계"/>
      <sheetName val="AS포장복구 "/>
      <sheetName val="요율"/>
      <sheetName val="자재대"/>
      <sheetName val="말뚝물량"/>
      <sheetName val="비품"/>
      <sheetName val="해평견적"/>
      <sheetName val="인원투입(개산견적)"/>
      <sheetName val="조직도"/>
      <sheetName val="예총"/>
      <sheetName val="품셈표"/>
      <sheetName val="건축내역"/>
      <sheetName val="증감내역서"/>
      <sheetName val="1.개요입력"/>
      <sheetName val="22.경비내역"/>
      <sheetName val="21.경비기본입력"/>
      <sheetName val="3.공기산정"/>
      <sheetName val="34.주택성능등급"/>
      <sheetName val="산출금액내역"/>
      <sheetName val="도급"/>
      <sheetName val="C1.공사개요"/>
      <sheetName val="실행(1)"/>
      <sheetName val="A1.스케쥴"/>
      <sheetName val="연동내역"/>
      <sheetName val="품셈집계"/>
      <sheetName val="유동표"/>
      <sheetName val="2.대외공문"/>
      <sheetName val="수량산출"/>
      <sheetName val="효명0010"/>
      <sheetName val="수금 "/>
      <sheetName val="수주현황"/>
      <sheetName val="Model"/>
      <sheetName val="점수계산1-2"/>
      <sheetName val="보할공정"/>
      <sheetName val="기본1"/>
      <sheetName val="수정일위대가"/>
      <sheetName val="난방방식분류"/>
      <sheetName val="공사정보입력"/>
      <sheetName val="수지표"/>
      <sheetName val="셀명"/>
      <sheetName val="2000노임기준"/>
      <sheetName val="식재일위대가"/>
      <sheetName val="노무비단가"/>
      <sheetName val="6PILE  (돌출)"/>
      <sheetName val="삭제금지단가"/>
      <sheetName val="IW-LIST"/>
      <sheetName val="mcc일위대가"/>
      <sheetName val="수량금액증감"/>
      <sheetName val="신천3호용수로"/>
      <sheetName val="단가표"/>
      <sheetName val="2공구산출내역"/>
      <sheetName val="경영상태"/>
      <sheetName val="정부노임단가"/>
      <sheetName val="A2"/>
      <sheetName val="연돌일위집계"/>
      <sheetName val="집수정(600-700)"/>
      <sheetName val="1구간내역서"/>
      <sheetName val="산출내역서집계표"/>
      <sheetName val="집계표(수배전제조구매)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Front"/>
      <sheetName val="wall"/>
      <sheetName val="예산내역"/>
      <sheetName val="총괄수지표"/>
      <sheetName val="집계표"/>
      <sheetName val="총괄"/>
      <sheetName val="SG"/>
      <sheetName val="시운전연료비"/>
      <sheetName val="1차설계변경내역"/>
      <sheetName val="장비"/>
      <sheetName val="산근1"/>
      <sheetName val="노무"/>
      <sheetName val="자재"/>
      <sheetName val="대목"/>
      <sheetName val="준검 내역서"/>
      <sheetName val="일위대가(1)"/>
      <sheetName val="설비원가"/>
      <sheetName val="표지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자료입력"/>
      <sheetName val="인건비 "/>
      <sheetName val="변압기 및 발전기 용량"/>
      <sheetName val="실행,원가 최종예상"/>
      <sheetName val="단가기준"/>
      <sheetName val="기본계획"/>
      <sheetName val="간지(전기공사)"/>
      <sheetName val="자재단가"/>
      <sheetName val="일위대가목차"/>
      <sheetName val="시운전연료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104동"/>
      <sheetName val="문학간접"/>
      <sheetName val="하조서"/>
      <sheetName val="토공사"/>
      <sheetName val="200"/>
      <sheetName val="손익분석"/>
      <sheetName val="노임이"/>
      <sheetName val="본실행경비"/>
      <sheetName val="FB25JN"/>
      <sheetName val="터파기및재료"/>
      <sheetName val="추가예산"/>
      <sheetName val="Sheet4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PRICES"/>
      <sheetName val="1. 설계조건 2.단면가정 3. 하중계산"/>
      <sheetName val="DATA 입력란"/>
      <sheetName val="실행대비"/>
      <sheetName val="Sheet3"/>
      <sheetName val="h-013211-2"/>
      <sheetName val="간선계산"/>
      <sheetName val="금액"/>
      <sheetName val="북제주원가"/>
      <sheetName val="수입"/>
      <sheetName val="3BL공동구 수량"/>
      <sheetName val="DATA2000"/>
      <sheetName val="기기리스트"/>
      <sheetName val="포장집계"/>
      <sheetName val="포장연장"/>
      <sheetName val="현장설명"/>
      <sheetName val="적용률"/>
      <sheetName val="BH-1 (2)"/>
      <sheetName val="현금"/>
      <sheetName val="직공비"/>
      <sheetName val="공통,경비내역"/>
      <sheetName val="원가계산"/>
      <sheetName val="공틀공사"/>
      <sheetName val="빙장비사양"/>
      <sheetName val="장비사양"/>
      <sheetName val="본선 토공 분배표"/>
      <sheetName val="토목(대안)"/>
      <sheetName val="3.공통공사대비"/>
      <sheetName val="효율계획(당월)"/>
      <sheetName val="전체실적"/>
      <sheetName val="실행철강하도"/>
      <sheetName val="CTEMCOST"/>
      <sheetName val="ELECTRIC"/>
      <sheetName val="SCHEDULE"/>
      <sheetName val="환경기계공정표 (3)"/>
      <sheetName val="직접비"/>
      <sheetName val="수목단가"/>
      <sheetName val="시설수량표"/>
      <sheetName val="식재수량표"/>
      <sheetName val="식재일위"/>
      <sheetName val="수입산정"/>
      <sheetName val="암센터"/>
      <sheetName val="단면가정"/>
      <sheetName val="설계조건"/>
      <sheetName val="단가조사"/>
      <sheetName val="SAM"/>
      <sheetName val="을"/>
      <sheetName val="일위(PN)"/>
      <sheetName val="자금신청서"/>
      <sheetName val="COVER"/>
      <sheetName val="첨부1"/>
      <sheetName val="수목표준대가"/>
      <sheetName val="남대문빌딩"/>
      <sheetName val="아파트"/>
      <sheetName val="QandAJunior"/>
      <sheetName val="일용노임단가"/>
      <sheetName val="JUCKEYK"/>
      <sheetName val="2234"/>
      <sheetName val="조립1부실적"/>
      <sheetName val="용수량(생활용수)"/>
      <sheetName val="을지"/>
      <sheetName val="중기조종사_단위단가"/>
      <sheetName val="BOM-Form_A_1_III"/>
      <sheetName val="PROJECT BRIEF"/>
      <sheetName val="필터"/>
      <sheetName val="INPUT"/>
      <sheetName val="당정동경상이수"/>
      <sheetName val="당정동공통이수"/>
      <sheetName val="물량표"/>
      <sheetName val="현장현황"/>
      <sheetName val="SPC노임(5월)"/>
      <sheetName val="sum1 (2)"/>
      <sheetName val="기계내역서"/>
      <sheetName val="BSD (2)"/>
      <sheetName val="(3.품질관리 시험 총괄표)"/>
      <sheetName val="평가데이터"/>
      <sheetName val="EQUIP"/>
      <sheetName val="입출재고현황 (2)"/>
      <sheetName val="교통대책내역"/>
      <sheetName val="일반수량"/>
      <sheetName val="PAINT"/>
      <sheetName val="일보_생산"/>
      <sheetName val="Baby일위대가"/>
      <sheetName val="기초작업"/>
      <sheetName val="9GNG운반"/>
      <sheetName val="일위대가목록"/>
      <sheetName val="도급FORM"/>
      <sheetName val="단"/>
      <sheetName val="01"/>
      <sheetName val="DAN"/>
      <sheetName val="백호우계수"/>
      <sheetName val="70%"/>
      <sheetName val="실행예산"/>
      <sheetName val="현장경상비"/>
      <sheetName val="MIJIBI"/>
      <sheetName val="코드"/>
      <sheetName val="목표세부명세"/>
      <sheetName val="INPUTDATA"/>
      <sheetName val="공구원가계산"/>
      <sheetName val="nys"/>
      <sheetName val="Requirement(Work Crew)"/>
      <sheetName val="재료"/>
      <sheetName val="설치자재"/>
      <sheetName val="기둥"/>
      <sheetName val="저판(버림100)"/>
      <sheetName val="사업부배부A"/>
      <sheetName val="약품공급2"/>
      <sheetName val="횡배수관"/>
      <sheetName val="공사내역"/>
      <sheetName val="Roon matrix"/>
      <sheetName val="DATE"/>
      <sheetName val="건축집계합계"/>
      <sheetName val="건축집계표이수"/>
      <sheetName val="교각별철근수량집계표"/>
      <sheetName val="포장수량"/>
      <sheetName val="단가테이블"/>
      <sheetName val="EJ"/>
      <sheetName val="도봉2지구"/>
      <sheetName val="예가표"/>
      <sheetName val="March"/>
      <sheetName val="추천서"/>
      <sheetName val="1호맨홀토공"/>
      <sheetName val="BOJUNGGM"/>
      <sheetName val="가정"/>
      <sheetName val="심사"/>
      <sheetName val="Preli"/>
      <sheetName val="Project Management"/>
      <sheetName val="카렌스센터계량기설치공사"/>
      <sheetName val="T13(P68~72,78)"/>
      <sheetName val="단가산출"/>
      <sheetName val="견적"/>
      <sheetName val="형틀"/>
      <sheetName val="토목주소"/>
      <sheetName val="프랜트면허"/>
      <sheetName val="소방"/>
      <sheetName val="2-2직관자재산출서-A-LINE"/>
      <sheetName val="인건비"/>
      <sheetName val="직종인원"/>
      <sheetName val="당초"/>
      <sheetName val="절단표"/>
      <sheetName val="5. 현장관리비(new) "/>
      <sheetName val="초안"/>
      <sheetName val="출근부(삼일)"/>
      <sheetName val="밸브설치"/>
      <sheetName val="견적대비표"/>
      <sheetName val="부대tu"/>
      <sheetName val="DHEQSUPT"/>
      <sheetName val="견"/>
      <sheetName val="차액보증"/>
      <sheetName val="총괄내역"/>
      <sheetName val="토적표"/>
      <sheetName val="배수공수집"/>
      <sheetName val="진주방향"/>
      <sheetName val="정리"/>
      <sheetName val="장비비"/>
      <sheetName val="단중표"/>
      <sheetName val="LOPCALC"/>
      <sheetName val="갑지(요약)"/>
      <sheetName val="공사"/>
      <sheetName val="c_balju"/>
      <sheetName val="수로BOX"/>
      <sheetName val="인사자료총집계"/>
      <sheetName val="지급자재"/>
      <sheetName val="옥외외등집계표"/>
      <sheetName val="전기혼잡제경비(45)"/>
      <sheetName val="준공조서"/>
      <sheetName val="공사준공계"/>
      <sheetName val="준공검사보고서"/>
      <sheetName val="부대내역"/>
      <sheetName val="실행내역"/>
      <sheetName val="G.노무비,현장경상"/>
      <sheetName val="설계서SC"/>
      <sheetName val="CON기초"/>
      <sheetName val="원가계산서(남측)"/>
      <sheetName val="(A)내역서"/>
      <sheetName val="집계(건축)"/>
      <sheetName val="집계(기계)"/>
      <sheetName val="집계(전기)"/>
      <sheetName val="집계(통신)"/>
      <sheetName val="집계(조경)"/>
      <sheetName val="00노임기준"/>
      <sheetName val="표 지"/>
      <sheetName val="EQT-ESTN"/>
      <sheetName val="대비표(토공1안)"/>
      <sheetName val="중기조종사_단위단가1"/>
      <sheetName val="원가계산서"/>
      <sheetName val="cal"/>
      <sheetName val="form"/>
      <sheetName val="기준요인별"/>
      <sheetName val="시장성초안camera"/>
      <sheetName val="잡비"/>
      <sheetName val="EP0618"/>
      <sheetName val="I.일위대가목차"/>
      <sheetName val="전기"/>
      <sheetName val="갑지(추정)"/>
      <sheetName val="RE9604"/>
      <sheetName val="소일위대가코드표"/>
      <sheetName val="노임(남)"/>
      <sheetName val="노임(북)"/>
      <sheetName val="대공종"/>
      <sheetName val="단가 (2)"/>
      <sheetName val="식재"/>
      <sheetName val="시설물"/>
      <sheetName val="식재출력용"/>
      <sheetName val="유지관리"/>
      <sheetName val="우석문틀"/>
      <sheetName val="협력업체"/>
      <sheetName val="자재목록"/>
      <sheetName val="인적사항"/>
      <sheetName val="VXXXXXXX"/>
      <sheetName val="하수급견적대비"/>
      <sheetName val="통신"/>
      <sheetName val="조명시설"/>
      <sheetName val="대비표"/>
      <sheetName val="잡비계산"/>
      <sheetName val="건축공사"/>
      <sheetName val="단가 및 재료비"/>
      <sheetName val="중기사용료산출근거"/>
      <sheetName val="토공사(흙막이)"/>
      <sheetName val="노임"/>
      <sheetName val="PROJECT BRIEF(EX.NEW)"/>
      <sheetName val="BOM-Form_A_1_III1"/>
      <sheetName val="돌담교_상부수량"/>
      <sheetName val="단면_(2)"/>
      <sheetName val="별표_"/>
      <sheetName val="CR_CODE"/>
      <sheetName val="THEME_CODE"/>
      <sheetName val="8_석축단위(H=1_5M)"/>
      <sheetName val="AS포장복구_"/>
      <sheetName val="2_대외공문"/>
      <sheetName val="수금_"/>
      <sheetName val="C1_공사개요"/>
      <sheetName val="1_개요입력"/>
      <sheetName val="22_경비내역"/>
      <sheetName val="21_경비기본입력"/>
      <sheetName val="3_공기산정"/>
      <sheetName val="34_주택성능등급"/>
      <sheetName val="A1_스케쥴"/>
      <sheetName val="Form_A_1_III"/>
      <sheetName val="Form_A_1"/>
      <sheetName val="Form_A_1_1"/>
      <sheetName val="BOM_Indirect"/>
      <sheetName val="Form_A_1_II_1"/>
      <sheetName val="Form_A_1_II_2"/>
      <sheetName val="Rekap-Base_Price"/>
      <sheetName val="6PILE__(돌출)"/>
      <sheetName val="준검_내역서"/>
      <sheetName val="수목데이타_"/>
      <sheetName val="인건비_"/>
      <sheetName val="변압기_및_발전기_용량"/>
      <sheetName val="실행,원가_최종예상"/>
      <sheetName val="97_사업추정(WEKI)"/>
      <sheetName val="경비_(2)"/>
      <sheetName val="Customer_Databas"/>
      <sheetName val="3BL공동구_수량"/>
      <sheetName val="1__설계조건_2_단면가정_3__하중계산"/>
      <sheetName val="DATA_입력란"/>
      <sheetName val="본선_토공_분배표"/>
      <sheetName val="BH-1_(2)"/>
      <sheetName val="3_공통공사대비"/>
      <sheetName val="환경기계공정표_(3)"/>
      <sheetName val="입출재고현황_(2)"/>
      <sheetName val="PROJECT_BRIEF"/>
      <sheetName val="(3_품질관리_시험_총괄표)"/>
      <sheetName val="BSD_(2)"/>
      <sheetName val="sum1_(2)"/>
      <sheetName val="Roon_matrix"/>
      <sheetName val="Project_Management"/>
      <sheetName val="5__현장관리비(new)_"/>
      <sheetName val="종배수관"/>
      <sheetName val="기계"/>
      <sheetName val="적용기준"/>
      <sheetName val="건기(집)"/>
      <sheetName val="database"/>
      <sheetName val="중기조종사_단위단가2"/>
      <sheetName val="G_노무비,현장경상"/>
      <sheetName val="표_지"/>
      <sheetName val="I_일위대가목차"/>
      <sheetName val="부대공Ⅱ"/>
      <sheetName val="기계설비"/>
      <sheetName val="견적율"/>
      <sheetName val="pier-1"/>
      <sheetName val="대,유,램"/>
      <sheetName val="도급양식"/>
      <sheetName val="3.건축(현장안)"/>
      <sheetName val="비탈면보호공수량산출"/>
      <sheetName val="코드표"/>
      <sheetName val="기초일위대가"/>
      <sheetName val="비교표"/>
      <sheetName val="설계명세"/>
      <sheetName val="2차공사"/>
      <sheetName val="건축도급단가"/>
      <sheetName val="실행단가"/>
      <sheetName val="월별수입"/>
      <sheetName val="Mc1"/>
      <sheetName val="물가시세표"/>
      <sheetName val="유림골조"/>
      <sheetName val="Sheet1 (2)"/>
      <sheetName val="설계내역서"/>
      <sheetName val="조건"/>
      <sheetName val="일용노임단가2001상"/>
      <sheetName val="참조자료"/>
      <sheetName val="단가일람"/>
      <sheetName val="조경일람"/>
      <sheetName val="CON'C"/>
      <sheetName val="토량1-1"/>
      <sheetName val="견적업체리스트"/>
      <sheetName val="부대집계"/>
      <sheetName val="수정계획3"/>
      <sheetName val="6공구(당초)"/>
      <sheetName val="물가자료"/>
      <sheetName val="토목내역서 (도급단가)"/>
      <sheetName val="내역분기"/>
      <sheetName val="공통가설공사"/>
      <sheetName val="총괄집계표"/>
      <sheetName val="구분자"/>
      <sheetName val="용산1(해보)"/>
      <sheetName val="1.설계기준"/>
      <sheetName val="청주(철골발주의뢰서)"/>
      <sheetName val="돈암사업"/>
      <sheetName val="APT"/>
      <sheetName val="한화금융비"/>
      <sheetName val="실행내역서 "/>
      <sheetName val="s"/>
      <sheetName val="한진금융비"/>
      <sheetName val="울산자동제어"/>
      <sheetName val="총집계표"/>
      <sheetName val="공양식"/>
      <sheetName val="마산월령동골조물량변경"/>
      <sheetName val="공량산출서"/>
      <sheetName val="환율change"/>
      <sheetName val="대비2"/>
      <sheetName val="Sens&amp;Anal"/>
      <sheetName val="변경비교-을"/>
      <sheetName val="총괄내역서"/>
      <sheetName val="b_balju"/>
      <sheetName val="노무비"/>
      <sheetName val="단가적용"/>
      <sheetName val="B"/>
      <sheetName val="맨홀수량산출"/>
      <sheetName val="골조"/>
      <sheetName val="내역표지"/>
      <sheetName val="주공 갑지"/>
      <sheetName val="자체실적1Q"/>
      <sheetName val="Motor Data"/>
      <sheetName val="T_x0002__x0000__x0000__x0000_"/>
      <sheetName val="아파트-가설"/>
      <sheetName val="견내"/>
      <sheetName val="소방 "/>
      <sheetName val="SIL98"/>
      <sheetName val="식생블럭단위수량"/>
      <sheetName val="B1(반포1차)"/>
      <sheetName val="데리네이타현황"/>
      <sheetName val="물량내역"/>
      <sheetName val="수목데이타"/>
      <sheetName val="1.설계조건"/>
      <sheetName val="기초자료입력"/>
      <sheetName val="견적대비"/>
      <sheetName val="기초자재단가"/>
      <sheetName val="현장관리비 산출내역"/>
      <sheetName val="마감산출서"/>
      <sheetName val="직노"/>
      <sheetName val="N賃率-職"/>
      <sheetName val="일위대가(가설)"/>
      <sheetName val="거푸집물량"/>
      <sheetName val="(실사조정)총괄"/>
      <sheetName val="예정(3)"/>
      <sheetName val="base"/>
      <sheetName val="계획금액"/>
      <sheetName val="분석대장"/>
      <sheetName val="40총괄"/>
      <sheetName val="40집계"/>
      <sheetName val="30신설일위대가"/>
      <sheetName val="30집계표"/>
      <sheetName val="전익자재"/>
      <sheetName val="현장관리비"/>
      <sheetName val="1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"/>
      <sheetName val="보할"/>
      <sheetName val="기성총괄"/>
      <sheetName val="기성(단지내)"/>
      <sheetName val="기성(도시기반)"/>
      <sheetName val="기성내역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골조시행"/>
      <sheetName val="12공구"/>
      <sheetName val="내역(~2"/>
      <sheetName val="단가"/>
      <sheetName val="단가산출"/>
      <sheetName val="토공사"/>
      <sheetName val="증감대비"/>
      <sheetName val="Sheet1"/>
      <sheetName val="일위_파일"/>
      <sheetName val="소비자가"/>
      <sheetName val="RING WALL"/>
      <sheetName val="데이타"/>
      <sheetName val="표준건축비"/>
      <sheetName val="실행대비"/>
      <sheetName val="재료"/>
      <sheetName val="99년하반기"/>
      <sheetName val="CON'C"/>
      <sheetName val="보증수수료산출"/>
      <sheetName val="공사비총괄표"/>
      <sheetName val="지질조사"/>
      <sheetName val="북제주원가"/>
      <sheetName val="실행"/>
      <sheetName val="기성"/>
      <sheetName val="품셈TABLE"/>
      <sheetName val="내역"/>
      <sheetName val="집계표"/>
      <sheetName val="BID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우수받이"/>
      <sheetName val="단가표"/>
      <sheetName val="1,2공구원가계산서"/>
      <sheetName val="2공구산출내역"/>
      <sheetName val="1공구산출내역서"/>
      <sheetName val="기결의"/>
      <sheetName val="Sheet5"/>
      <sheetName val="단"/>
      <sheetName val="실행(ALT1)"/>
      <sheetName val="경비"/>
      <sheetName val="2002하반기노임기준"/>
      <sheetName val="건축일위"/>
      <sheetName val="그라우팅일위"/>
      <sheetName val="조명시설"/>
      <sheetName val="식재인부"/>
      <sheetName val="청주(철골발주의뢰서)"/>
      <sheetName val="정부노임단가"/>
      <sheetName val="납부서"/>
      <sheetName val="노임단가"/>
      <sheetName val="식재가격"/>
      <sheetName val="식재총괄"/>
      <sheetName val="일위목록"/>
      <sheetName val="노무비단가"/>
      <sheetName val="일위대가(건축)"/>
      <sheetName val="식재수량표"/>
      <sheetName val="자재단가"/>
      <sheetName val="토목주소"/>
      <sheetName val="원가계산"/>
      <sheetName val="Y-WORK"/>
      <sheetName val="세부내역"/>
      <sheetName val="토사(PE)"/>
      <sheetName val="건축2"/>
      <sheetName val="계약내역(2)"/>
      <sheetName val="단가비교표"/>
      <sheetName val="예산서"/>
      <sheetName val="원가"/>
      <sheetName val="#REF"/>
      <sheetName val="예산명세서"/>
      <sheetName val="설계명세서"/>
      <sheetName val="자료입력"/>
      <sheetName val="상반기손익차2총괄"/>
      <sheetName val="䴝괄내역"/>
      <sheetName val="입력자료"/>
      <sheetName val="단가(자재)"/>
      <sheetName val="단가(노임)"/>
      <sheetName val="기초목록"/>
      <sheetName val="#3_일위대가목록"/>
      <sheetName val="목록"/>
      <sheetName val="COVER"/>
      <sheetName val="Sheet6"/>
      <sheetName val="노임"/>
      <sheetName val="설명서 "/>
      <sheetName val="토목"/>
      <sheetName val="Sheet1 (2)"/>
      <sheetName val="단가비교표_공통1"/>
      <sheetName val="중기"/>
      <sheetName val="기본단가표"/>
      <sheetName val="수단"/>
      <sheetName val="갑지"/>
      <sheetName val="자료"/>
      <sheetName val="철거산출근거"/>
      <sheetName val="수목단가"/>
      <sheetName val="시설수량표"/>
      <sheetName val="일위대가목차"/>
      <sheetName val="45,46"/>
      <sheetName val="상계견적"/>
      <sheetName val="부대내역"/>
      <sheetName val="터파기및재료"/>
      <sheetName val="4차원가계산서"/>
      <sheetName val="산출내역서집계표"/>
      <sheetName val="구체"/>
      <sheetName val="좌측날개벽"/>
      <sheetName val="우측날개벽"/>
      <sheetName val="기자재수량"/>
      <sheetName val="DATA"/>
      <sheetName val="전기"/>
      <sheetName val="총공사내역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마감LIST-1"/>
      <sheetName val="수목표준대가"/>
      <sheetName val="JUCKEYK"/>
      <sheetName val="mcc일위대가"/>
      <sheetName val="MOTOR"/>
      <sheetName val="Sheet2"/>
      <sheetName val="DATE"/>
      <sheetName val="산출근거#2-3"/>
      <sheetName val="공사"/>
      <sheetName val="의왕내역"/>
      <sheetName val="정산내역서"/>
      <sheetName val="공조기"/>
      <sheetName val="발주내역"/>
      <sheetName val="해평견적"/>
      <sheetName val="6호기"/>
      <sheetName val="총 원가계산"/>
      <sheetName val="시설물일위"/>
      <sheetName val="실행기고및 투입현황(총괄)"/>
      <sheetName val="2000,9월 일위"/>
      <sheetName val="내역서(전기)"/>
      <sheetName val="2000년1차"/>
      <sheetName val="대창(함평)"/>
      <sheetName val="대창(장성)"/>
      <sheetName val="대창(함평)-창열"/>
      <sheetName val="조명일위"/>
      <sheetName val="내역서1999.8최종"/>
      <sheetName val="01AC"/>
      <sheetName val="2000전체분"/>
      <sheetName val="공사개요"/>
      <sheetName val="견적공통"/>
      <sheetName val="#2_일위대가목록"/>
      <sheetName val="간접비계산"/>
      <sheetName val="인제내역"/>
      <sheetName val="70%"/>
      <sheetName val="연결임시"/>
      <sheetName val="건축내역서"/>
      <sheetName val="설비내역서"/>
      <sheetName val="전기내역서"/>
      <sheetName val="횡배수관집현황(2공구)"/>
      <sheetName val="실행예산"/>
      <sheetName val="공량산출서"/>
      <sheetName val="명세서"/>
      <sheetName val="건축공사"/>
      <sheetName val="COST"/>
      <sheetName val="정공공사"/>
      <sheetName val="대비2"/>
      <sheetName val="일반부표"/>
      <sheetName val="조명율표"/>
      <sheetName val="단위단가"/>
      <sheetName val="노임,재료비"/>
      <sheetName val="ES조서출력하기"/>
      <sheetName val="입찰안"/>
      <sheetName val="Sheet4"/>
      <sheetName val="남대문빌딩"/>
      <sheetName val="소일위대가코드표"/>
      <sheetName val="을지"/>
      <sheetName val="맨홀수량"/>
      <sheetName val="기초일위"/>
      <sheetName val="시설일위"/>
      <sheetName val="식재일위"/>
      <sheetName val="이토변실(A3-LINE)"/>
      <sheetName val="단가조사"/>
      <sheetName val="건축"/>
      <sheetName val="입찰보고"/>
      <sheetName val="시운전연료비"/>
      <sheetName val="수량산출(음암)"/>
      <sheetName val="재료비"/>
      <sheetName val="원가계산서 "/>
      <sheetName val="결재갑지"/>
      <sheetName val="바닥판"/>
      <sheetName val="입력DATA"/>
      <sheetName val="수량집계"/>
      <sheetName val="주beam"/>
      <sheetName val="아파트"/>
      <sheetName val="주소록"/>
      <sheetName val="H-PILE수량집계"/>
      <sheetName val="교통대책내역"/>
      <sheetName val="22단가"/>
      <sheetName val="22산출"/>
      <sheetName val="판매시설"/>
      <sheetName val="수량산출"/>
      <sheetName val="별표 "/>
      <sheetName val="수간보호"/>
      <sheetName val="기안"/>
      <sheetName val="00000"/>
      <sheetName val="연동내역"/>
      <sheetName val="단가일람"/>
      <sheetName val="단가일람 (2)"/>
      <sheetName val="설계내역"/>
      <sheetName val="소방"/>
      <sheetName val="금액"/>
      <sheetName val="물가시세"/>
      <sheetName val="역T형교대(말뚝기초)"/>
      <sheetName val="제경비"/>
      <sheetName val="구리토평1전기"/>
      <sheetName val="해외(원화)"/>
      <sheetName val="2.토목공사"/>
      <sheetName val="유리"/>
      <sheetName val="D"/>
      <sheetName val="일위대가(가설)"/>
      <sheetName val="신공항A-9(원가수정)"/>
      <sheetName val="일위대가 "/>
      <sheetName val="공정표"/>
      <sheetName val="오동"/>
      <sheetName val="대조"/>
      <sheetName val="나한"/>
      <sheetName val="파일의이용"/>
      <sheetName val="차수"/>
      <sheetName val="A2"/>
      <sheetName val="Total"/>
      <sheetName val="실행,원가 최종예상"/>
      <sheetName val="교각1"/>
      <sheetName val="확약서"/>
      <sheetName val="1단계"/>
      <sheetName val="방수"/>
      <sheetName val="합의경상"/>
      <sheetName val="남양주댠가표"/>
      <sheetName val="유림총괄"/>
      <sheetName val="DAN"/>
      <sheetName val="백호우계수"/>
      <sheetName val="분전반계산서(석관)"/>
      <sheetName val="Customer Databas"/>
      <sheetName val="101동 "/>
      <sheetName val="구조"/>
      <sheetName val="총괄내역서(설계)"/>
      <sheetName val="unit 4"/>
      <sheetName val="49단가"/>
      <sheetName val="거래처등록"/>
      <sheetName val="시중노임"/>
      <sheetName val="요율"/>
      <sheetName val="내역서 제출"/>
      <sheetName val="101동"/>
      <sheetName val="덕전리"/>
      <sheetName val="말뚝지지력산정"/>
      <sheetName val="단가대비표"/>
      <sheetName val="2단지내역서"/>
      <sheetName val="기초자료"/>
      <sheetName val="시설물기초"/>
      <sheetName val="산근"/>
      <sheetName val="원가집계"/>
      <sheetName val="HVAC"/>
      <sheetName val="인건비"/>
      <sheetName val="철근량"/>
      <sheetName val="APT"/>
      <sheetName val="주공 갑지"/>
      <sheetName val="제경비율"/>
      <sheetName val="단가조사서"/>
      <sheetName val="재료값"/>
      <sheetName val="견적서"/>
      <sheetName val="산출내역서"/>
      <sheetName val="기흥하도용"/>
      <sheetName val="데리네이타현황"/>
      <sheetName val="중기 부표"/>
      <sheetName val="토목변경"/>
      <sheetName val="단중표"/>
      <sheetName val="설계예산서"/>
      <sheetName val="예산내역서"/>
      <sheetName val="총계"/>
      <sheetName val="WORK"/>
      <sheetName val="영창26"/>
      <sheetName val="48산출"/>
      <sheetName val="산출2-기기동력"/>
      <sheetName val="9-1차이내역"/>
      <sheetName val="EACT10"/>
      <sheetName val="설계기준"/>
      <sheetName val="내역1"/>
      <sheetName val="밸브설치"/>
      <sheetName val="AV시스템"/>
      <sheetName val="평가데이터"/>
      <sheetName val="도급"/>
      <sheetName val="경상직원"/>
      <sheetName val="프랜트면허"/>
      <sheetName val="노무비"/>
      <sheetName val="간접"/>
      <sheetName val="AS포장복구 "/>
      <sheetName val="설계명세"/>
      <sheetName val="s.v"/>
      <sheetName val="원가서"/>
      <sheetName val="일반수량총괄집계"/>
      <sheetName val="대공종"/>
      <sheetName val="매입세율"/>
      <sheetName val="기본일위"/>
      <sheetName val="복지관 풍화암-평면"/>
      <sheetName val="원가계산서(남측)"/>
      <sheetName val="변압기 및 발전기 용량"/>
      <sheetName val="변수값"/>
      <sheetName val="중기상차"/>
      <sheetName val="AS복구"/>
      <sheetName val="중기터파기"/>
      <sheetName val="현장관리비"/>
      <sheetName val="단가대비표 (2)"/>
      <sheetName val="토공(우물통,기타) "/>
      <sheetName val="옥외부분합"/>
      <sheetName val="b_babun (2)"/>
      <sheetName val="2.대외공문"/>
      <sheetName val="송전재료비"/>
      <sheetName val="직공비"/>
      <sheetName val="1차 내역서"/>
      <sheetName val="단가(1)"/>
      <sheetName val="안전시설"/>
      <sheetName val="용수량(생활용수)"/>
      <sheetName val="대치판정"/>
      <sheetName val="집계"/>
      <sheetName val="대비"/>
      <sheetName val="조건"/>
      <sheetName val="수주현황2월"/>
      <sheetName val="일위대가표_(2)"/>
      <sheetName val="공종별_집계표"/>
      <sheetName val="도급내역서_표지"/>
      <sheetName val="RING_WALL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기본입력"/>
      <sheetName val="인수공규격"/>
      <sheetName val="1.설계조건"/>
      <sheetName val="개소별수량산출"/>
      <sheetName val="을"/>
      <sheetName val="FORM-0"/>
      <sheetName val="약품공급2"/>
      <sheetName val="공사착공계"/>
      <sheetName val="잡비계산"/>
      <sheetName val="c_balju"/>
      <sheetName val="기계경비(시간당)"/>
      <sheetName val="램머"/>
      <sheetName val="건축공사 집계표"/>
      <sheetName val="골조"/>
      <sheetName val="archi(본사)"/>
      <sheetName val="대목"/>
      <sheetName val="내역(원안-대안)"/>
      <sheetName val="견적단가"/>
      <sheetName val="적용기준"/>
      <sheetName val="사급자재"/>
      <sheetName val="수량산출서-2"/>
      <sheetName val="직노"/>
      <sheetName val="공통단가"/>
      <sheetName val="운반비"/>
      <sheetName val="2000양배"/>
      <sheetName val="공사비산출내역"/>
      <sheetName val="견적1"/>
      <sheetName val="건축설비"/>
      <sheetName val="변경내역서간지"/>
      <sheetName val="단가대비표 (3)"/>
      <sheetName val="견적대비표"/>
      <sheetName val="가정조건"/>
      <sheetName val="입력"/>
      <sheetName val="FB25JN"/>
      <sheetName val="석축산출서"/>
      <sheetName val="단가집"/>
      <sheetName val="전체내역"/>
      <sheetName val="4.전기"/>
      <sheetName val="시중노임단가"/>
      <sheetName val="BSD (2)"/>
      <sheetName val="배수내역"/>
      <sheetName val="일위"/>
      <sheetName val="자재"/>
      <sheetName val="차액보증"/>
      <sheetName val="본실행경비"/>
      <sheetName val="노임이"/>
      <sheetName val="설계가"/>
      <sheetName val="2000노임기준"/>
      <sheetName val="코드"/>
      <sheetName val="I一般比"/>
      <sheetName val="조건입력"/>
      <sheetName val="조건입력(2)"/>
      <sheetName val="장비선정"/>
      <sheetName val="AL공사(원)"/>
      <sheetName val="표지 (2)"/>
      <sheetName val="주배관TYPE현황"/>
      <sheetName val="냉천부속동"/>
      <sheetName val="토목수량(공정)"/>
      <sheetName val="단양 00 아파트-세부내역"/>
      <sheetName val="8.수량산출 (2)"/>
      <sheetName val="총경력기간"/>
      <sheetName val="점수표"/>
      <sheetName val="과거면접실시자"/>
      <sheetName val="학력사항"/>
      <sheetName val="상하차비용(기계상차)"/>
      <sheetName val="노임단가표"/>
      <sheetName val="단가기준"/>
      <sheetName val="21301동"/>
      <sheetName val="식재"/>
      <sheetName val="99노임기준"/>
      <sheetName val="시설물"/>
      <sheetName val="식재출력용"/>
      <sheetName val="유지관리"/>
      <sheetName val="견적(100%)"/>
      <sheetName val="코드표"/>
      <sheetName val="소화배관"/>
      <sheetName val="공조배관"/>
      <sheetName val="갑  지"/>
      <sheetName val="PIPE(UG)내역"/>
      <sheetName val="36단가"/>
      <sheetName val="N賃率-職"/>
      <sheetName val="총 괄 표"/>
      <sheetName val="NEYOK"/>
      <sheetName val="공사비"/>
      <sheetName val="식재일위대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9GNG운반"/>
      <sheetName val="예정(3)"/>
      <sheetName val="토목내역서"/>
      <sheetName val="견"/>
      <sheetName val="보할공정"/>
      <sheetName val="삭제금지단가"/>
      <sheetName val="시험장S자로가로등공사"/>
      <sheetName val="내역서적용수량"/>
      <sheetName val="갑지(추정)"/>
      <sheetName val="값"/>
      <sheetName val="설계서(동안동)"/>
      <sheetName val="Baby일위대가"/>
      <sheetName val="운반공사"/>
      <sheetName val="분전함신설"/>
      <sheetName val="접지1종"/>
      <sheetName val="철골,판넬"/>
      <sheetName val="견적조건"/>
      <sheetName val="옥내소화전계산서"/>
      <sheetName val="산출기초"/>
      <sheetName val="예총"/>
      <sheetName val="Xunit (단위환산)"/>
      <sheetName val="00노임기준"/>
      <sheetName val="99총공사내역서"/>
      <sheetName val="개산공사비"/>
      <sheetName val="STAND98"/>
      <sheetName val="수목일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일위대가목록"/>
      <sheetName val="진흥지역조서(구역밖)"/>
      <sheetName val="48단가"/>
      <sheetName val="1회"/>
      <sheetName val="간접1"/>
      <sheetName val="영업3"/>
      <sheetName val="영업2"/>
      <sheetName val="유림콘도"/>
      <sheetName val="CATV"/>
      <sheetName val="단가조정"/>
      <sheetName val="조경"/>
      <sheetName val="설계"/>
      <sheetName val="BDATA"/>
      <sheetName val="PAINT"/>
      <sheetName val="별표집계"/>
      <sheetName val="할증 "/>
      <sheetName val="PROG"/>
      <sheetName val="h-013211-2"/>
      <sheetName val="1-1"/>
      <sheetName val="노임단가 (2)"/>
      <sheetName val="기존단가 (2)"/>
      <sheetName val="경산"/>
      <sheetName val="단위중량"/>
      <sheetName val="원"/>
      <sheetName val="소야공정계획표"/>
      <sheetName val="조정율"/>
      <sheetName val="영신토건물가변동"/>
      <sheetName val="공사수행방안"/>
      <sheetName val="실행철강하도"/>
      <sheetName val="현관"/>
      <sheetName val="광주운남을"/>
      <sheetName val="자  재"/>
      <sheetName val="건축외주"/>
      <sheetName val="참고자료"/>
      <sheetName val="은행코드"/>
      <sheetName val="파일구성"/>
      <sheetName val="견적갑지"/>
      <sheetName val="건축원가계산서"/>
      <sheetName val="산수배수"/>
      <sheetName val="2"/>
      <sheetName val="수목데이타 "/>
      <sheetName val="2003상반기노임기준"/>
      <sheetName val="산출2-동력"/>
      <sheetName val="산출3-전등"/>
      <sheetName val="산출4-조명제어"/>
      <sheetName val="산출5-전열"/>
      <sheetName val="산출7-유도등"/>
      <sheetName val="품목"/>
      <sheetName val="7.산출집계"/>
      <sheetName val="4.일위산출"/>
      <sheetName val="9.자재단가"/>
      <sheetName val="공비대비"/>
      <sheetName val="설계예시"/>
      <sheetName val="거푸집물량"/>
      <sheetName val="인사자료총집계"/>
      <sheetName val="2총괄내역서"/>
      <sheetName val="기초단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재노경"/>
      <sheetName val="단가 "/>
      <sheetName val="수량"/>
      <sheetName val="가설공사비"/>
      <sheetName val="플랜트 설치"/>
      <sheetName val="카메라"/>
      <sheetName val="tggwan(mac)"/>
      <sheetName val="LD"/>
      <sheetName val="입출재고현황 (2)"/>
      <sheetName val="매입세会"/>
      <sheetName val="SLAB&quot;1&quot;"/>
      <sheetName val="금액내역서"/>
      <sheetName val="관급자재대"/>
      <sheetName val="유기공정"/>
      <sheetName val="내역서1"/>
      <sheetName val="장비경비"/>
      <sheetName val="정보"/>
      <sheetName val="물량표"/>
      <sheetName val="간접경상비"/>
      <sheetName val="총정리"/>
      <sheetName val="지급자재"/>
      <sheetName val="b_balju_cho"/>
      <sheetName val="공기압축기실"/>
      <sheetName val="유림골조"/>
      <sheetName val="내역_ver1.0"/>
      <sheetName val="골조공사"/>
      <sheetName val="직접인건비"/>
      <sheetName val="직원자료입력"/>
      <sheetName val="사회복지관"/>
      <sheetName val="표  지"/>
      <sheetName val="ABUT수량-A1"/>
      <sheetName val="준검 내역서"/>
      <sheetName val="물집"/>
      <sheetName val="단가산출서 (2)"/>
      <sheetName val="단가산출서"/>
      <sheetName val="102역사"/>
      <sheetName val="CLAUSE"/>
      <sheetName val="수량산출서집계"/>
      <sheetName val="노무산출서"/>
      <sheetName val="소요자재"/>
      <sheetName val="MC내역(이설)"/>
      <sheetName val="장비집계"/>
      <sheetName val="일반"/>
      <sheetName val="SUB일위대가(이음)"/>
      <sheetName val="시점교대"/>
      <sheetName val="각종단가"/>
      <sheetName val="기성내역1"/>
      <sheetName val="수량계산"/>
      <sheetName val="포장수량"/>
      <sheetName val="횡배수관"/>
      <sheetName val="단가대비"/>
      <sheetName val="근로자자료입력"/>
      <sheetName val="자재목록표"/>
      <sheetName val="설비"/>
      <sheetName val="설계개요"/>
      <sheetName val="한강운반비"/>
      <sheetName val="Tool"/>
      <sheetName val="그림"/>
      <sheetName val="웅진교-S2"/>
      <sheetName val="pier(각형)"/>
      <sheetName val="품셈집계표"/>
      <sheetName val="자재조사표"/>
      <sheetName val="빗물받이(910-510-410)"/>
      <sheetName val="도근좌표"/>
      <sheetName val="SG"/>
      <sheetName val="1련,2련"/>
      <sheetName val="변품8-37"/>
      <sheetName val="빌딩 안내"/>
      <sheetName val="COPING-1"/>
      <sheetName val="역T형교대-2수량"/>
      <sheetName val="산출근거"/>
      <sheetName val="자재테이블"/>
      <sheetName val="총괄"/>
      <sheetName val="계획금액"/>
      <sheetName val="설계서(본관)"/>
      <sheetName val="200"/>
      <sheetName val="제목"/>
      <sheetName val="DANGA"/>
      <sheetName val="Dae_Jiju"/>
      <sheetName val="기초도면제작"/>
      <sheetName val="주출입구조사"/>
      <sheetName val="충주"/>
      <sheetName val="단가대비표(건축)"/>
      <sheetName val="장비가동"/>
      <sheetName val="JOIN(2span)"/>
      <sheetName val="주빔의 설계"/>
      <sheetName val="철근량산정및사용성검토"/>
      <sheetName val="b_balju"/>
      <sheetName val="48일위"/>
      <sheetName val="1 자원총괄"/>
      <sheetName val="직접경비호표"/>
      <sheetName val="LP-S"/>
      <sheetName val="기성고조서"/>
      <sheetName val="1."/>
      <sheetName val="단위골재량"/>
      <sheetName val="철거단가"/>
      <sheetName val="날개벽수량표"/>
      <sheetName val="일위산출"/>
      <sheetName val="교통표지기초"/>
      <sheetName val="제수"/>
      <sheetName val="257A1"/>
      <sheetName val="000000"/>
      <sheetName val="배수관접합및부설  "/>
      <sheetName val="토공집계"/>
      <sheetName val="단위수량"/>
      <sheetName val="노임(1차)"/>
      <sheetName val="집계표 "/>
      <sheetName val="수리보고서비"/>
      <sheetName val="예측단가간지"/>
      <sheetName val="총괄표 "/>
      <sheetName val="총괄내역서"/>
      <sheetName val="설계내역서"/>
      <sheetName val="3.단가산출서"/>
      <sheetName val="수원역(전체분)설계서"/>
      <sheetName val="형틀공사"/>
      <sheetName val="gyun"/>
      <sheetName val="용산1(해보)"/>
      <sheetName val="현황"/>
      <sheetName val="테이블"/>
      <sheetName val="일위대가-2"/>
      <sheetName val="설비(제출)"/>
      <sheetName val="C3"/>
      <sheetName val="시운전연료"/>
      <sheetName val="내역서(도급)"/>
      <sheetName val="CON기초"/>
      <sheetName val="포장복구집계"/>
      <sheetName val="기본사항"/>
      <sheetName val="환산"/>
      <sheetName val="건축공사실행"/>
      <sheetName val="외주비"/>
      <sheetName val="전선 및 전선관"/>
      <sheetName val="도급양식"/>
      <sheetName val="내역서2안"/>
      <sheetName val="7단가"/>
      <sheetName val="&lt;양식23_CF&gt;"/>
      <sheetName val="현장관리비 산출내역"/>
      <sheetName val="일위대가표_(2)1"/>
      <sheetName val="공종별_집계표1"/>
      <sheetName val="도급내역서_표지1"/>
      <sheetName val="RING_WALL1"/>
      <sheetName val="Sheet1_(2)1"/>
      <sheetName val="설명서_1"/>
      <sheetName val="내역서1999_8최종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실행기고및_투입현황(총괄)1"/>
      <sheetName val="2000,9월_일위1"/>
      <sheetName val="총_원가계산1"/>
      <sheetName val="단가일람_(2)1"/>
      <sheetName val="unit_41"/>
      <sheetName val="원가계산서_1"/>
      <sheetName val="2_토목공사1"/>
      <sheetName val="일위대가_1"/>
      <sheetName val="별표_1"/>
      <sheetName val="실행,원가_최종예상"/>
      <sheetName val="내역서_제출"/>
      <sheetName val="101동_"/>
      <sheetName val="주공_갑지"/>
      <sheetName val="Customer_Databas"/>
      <sheetName val="중기_부표"/>
      <sheetName val="복지관_풍화암-평면"/>
      <sheetName val="변압기_및_발전기_용량"/>
      <sheetName val="b_babun_(2)"/>
      <sheetName val="단가대비표_(2)"/>
      <sheetName val="2_대외공문"/>
      <sheetName val="AS포장복구_"/>
      <sheetName val="토공(우물통,기타)_"/>
      <sheetName val="s_v"/>
      <sheetName val="건축공사_집계표"/>
      <sheetName val="4_전기"/>
      <sheetName val="1차_내역서"/>
      <sheetName val="1_설계조건"/>
      <sheetName val="단가대비표_(3)"/>
      <sheetName val="세골재  T2 변경 현황"/>
      <sheetName val="토목공사일반"/>
      <sheetName val="동별물량집계표"/>
      <sheetName val="비품"/>
      <sheetName val="준공정산"/>
      <sheetName val="맨홀조서"/>
      <sheetName val="미드수량"/>
      <sheetName val="광장"/>
      <sheetName val="factor(건축)"/>
      <sheetName val="대포2교접속"/>
      <sheetName val="예산조서(전송)"/>
      <sheetName val="단가 및 재료비"/>
      <sheetName val="중기사용료산출근거"/>
      <sheetName val="공기압_x0005__x0000_"/>
      <sheetName val="공기압窤皙祜"/>
      <sheetName val="공기압丵〒_x0005_"/>
      <sheetName val="품의"/>
      <sheetName val="손료기준-공사부구두문의"/>
      <sheetName val="3BL공동구 수량"/>
      <sheetName val="SIL98"/>
      <sheetName val="송전기본"/>
      <sheetName val="비주거용"/>
      <sheetName val="DB구축"/>
      <sheetName val="실행내역(10.13)"/>
      <sheetName val="견적기준"/>
      <sheetName val="도급내역"/>
      <sheetName val="ASSIGN"/>
      <sheetName val="POL6차-PIPING"/>
      <sheetName val="심의위원명단"/>
      <sheetName val="96노임기준"/>
      <sheetName val="M-EQPT-Z"/>
      <sheetName val="반포2차"/>
      <sheetName val="건축내역(대전문화동)"/>
      <sheetName val="1.개요입력"/>
      <sheetName val="배선산출서"/>
      <sheetName val="유효폭"/>
      <sheetName val="실행(1)"/>
      <sheetName val="공통가설"/>
      <sheetName val="실행내역"/>
      <sheetName val="중기운반자재총(구조물)"/>
      <sheetName val="견적을지"/>
      <sheetName val="기타사항"/>
      <sheetName val="3.단᠚░　胉"/>
      <sheetName val="3.단ᠢ╋賳"/>
      <sheetName val="base"/>
      <sheetName val="01"/>
      <sheetName val="항목등록"/>
      <sheetName val="6PILE  (돌출)"/>
      <sheetName val="조경일람"/>
      <sheetName val="총괄집계표"/>
      <sheetName val="3.단렖⪇퀀顴"/>
      <sheetName val="도로구조공사비"/>
      <sheetName val="도로토공공사비"/>
      <sheetName val="여수토공사비"/>
      <sheetName val="실행내역서(DCU)"/>
      <sheetName val="수지표"/>
      <sheetName val="셀명"/>
      <sheetName val="사리부설"/>
      <sheetName val="신규보류입력"/>
      <sheetName val="이름정의"/>
      <sheetName val="수입"/>
      <sheetName val="암거단위"/>
      <sheetName val="수량-가로등"/>
      <sheetName val="5사남"/>
      <sheetName val="산출1-수변전"/>
      <sheetName val="Macro1"/>
      <sheetName val="자재비"/>
      <sheetName val="TRE TABLE"/>
      <sheetName val="빈"/>
      <sheetName val="부표총괄"/>
      <sheetName val="기초목"/>
      <sheetName val="3.단爁녈/_x0000_"/>
      <sheetName val="원가총괄"/>
      <sheetName val="HRSG SMALL07220"/>
      <sheetName val="CODE"/>
      <sheetName val="A-4"/>
      <sheetName val="실행내역서(조정)"/>
      <sheetName val="공사비 증감 내역서"/>
      <sheetName val="계산내역(설비)"/>
      <sheetName val="토공"/>
      <sheetName val="중기명"/>
      <sheetName val="일위대가(1)"/>
      <sheetName val="실행내역 "/>
      <sheetName val="단위수량산출"/>
      <sheetName val="마산월령동골조물량변경"/>
      <sheetName val="계획123"/>
      <sheetName val="포장공사"/>
      <sheetName val="사업계획"/>
      <sheetName val="설명"/>
      <sheetName val="측량노임단가"/>
      <sheetName val="기초수량산출서"/>
      <sheetName val="미장산근"/>
      <sheetName val="계수시트"/>
      <sheetName val="8.PILE  (돌출)"/>
      <sheetName val="하부철근수량"/>
      <sheetName val="guard(mac)"/>
      <sheetName val="가시설수량집계"/>
      <sheetName val="청천내"/>
      <sheetName val="자재단가비교표"/>
      <sheetName val="건축집계표"/>
      <sheetName val="일일"/>
      <sheetName val="사업관리"/>
      <sheetName val="PL단가산정"/>
      <sheetName val="그림2"/>
      <sheetName val="지수"/>
      <sheetName val="울산시산표"/>
      <sheetName val="소방사항"/>
      <sheetName val="5.수량집계"/>
      <sheetName val="3.일위대가표"/>
      <sheetName val="8.자재단가비교표"/>
      <sheetName val="단1"/>
      <sheetName val="중기조종사 단위단가"/>
      <sheetName val="물류최종8월7"/>
      <sheetName val="노면표시-조"/>
      <sheetName val="load(지하층)"/>
      <sheetName val="wall"/>
      <sheetName val="입상내역"/>
      <sheetName val="노무비 근거"/>
      <sheetName val="문학간접"/>
      <sheetName val="106C0300"/>
      <sheetName val="횡 연장"/>
      <sheetName val="날개벽"/>
      <sheetName val="갑지1"/>
      <sheetName val="연부97-1"/>
      <sheetName val="직재"/>
      <sheetName val="재집"/>
      <sheetName val="실행간접비용"/>
      <sheetName val="건축명"/>
      <sheetName val="기계명"/>
      <sheetName val="전기명"/>
      <sheetName val="토목명"/>
      <sheetName val="품셈표"/>
      <sheetName val="2.재료비"/>
      <sheetName val="1.인건비"/>
      <sheetName val="12.보오링"/>
      <sheetName val="18.공내수압탄성자연"/>
      <sheetName val="과천MAIN"/>
      <sheetName val="공정코드"/>
      <sheetName val="20관리비율"/>
      <sheetName val="공사요율"/>
      <sheetName val="현장경비"/>
      <sheetName val="원본"/>
      <sheetName val="교대(A1-A2)"/>
      <sheetName val="손익코드"/>
      <sheetName val="합계금액"/>
      <sheetName val="퍼스트"/>
      <sheetName val="7월11일"/>
      <sheetName val="36수량"/>
      <sheetName val="주민등록대장"/>
      <sheetName val="적용률"/>
      <sheetName val="매출"/>
      <sheetName val="00내역서"/>
      <sheetName val="손익집계(공장별)"/>
      <sheetName val="함수"/>
      <sheetName val="빙장비사양"/>
      <sheetName val="분전반일위대가"/>
      <sheetName val="시화점실행"/>
      <sheetName val="3.내역서"/>
      <sheetName val="초"/>
      <sheetName val="설비원가"/>
      <sheetName val="부안일위"/>
      <sheetName val="맨홀_공사비"/>
      <sheetName val="조도계산"/>
      <sheetName val="깨기수량"/>
      <sheetName val="결재판"/>
      <sheetName val="견적을(1안)"/>
      <sheetName val="SAM"/>
      <sheetName val="산출6-TRAY"/>
      <sheetName val="산출7-본선1)"/>
      <sheetName val="산출7-본선2"/>
      <sheetName val="산출7-본선3"/>
      <sheetName val="공정외주"/>
      <sheetName val="장비명"/>
      <sheetName val="전기공사일위대가"/>
      <sheetName val="부표"/>
      <sheetName val="전체"/>
      <sheetName val="내역서01"/>
      <sheetName val="초기화면"/>
      <sheetName val="직접노무"/>
      <sheetName val="직접재료"/>
      <sheetName val="3.단蠀ᵷ찀ᵷ"/>
      <sheetName val="3.단⠀⑶氀⑶"/>
      <sheetName val="ELEC"/>
      <sheetName val="DATA1"/>
      <sheetName val="(A)내역서"/>
      <sheetName val="업체별기성내역"/>
      <sheetName val="결재판(삭제하지말아주세요)"/>
      <sheetName val="O＆P"/>
      <sheetName val="spc 배관견적"/>
      <sheetName val="노무단가"/>
      <sheetName val="인건-측정"/>
      <sheetName val="DB"/>
      <sheetName val="건_N"/>
      <sheetName val="견적의뢰"/>
      <sheetName val="업체선정"/>
      <sheetName val="공사비명세서"/>
      <sheetName val="도로횡단-D300"/>
      <sheetName val="세금자료"/>
      <sheetName val="관급"/>
      <sheetName val="배관배선 단가조사"/>
      <sheetName val="일위대가집계"/>
      <sheetName val="RE9604"/>
      <sheetName val="남양내역"/>
      <sheetName val="장비사양"/>
      <sheetName val="Front"/>
      <sheetName val="C1.공사개요"/>
      <sheetName val="A1.스케쥴"/>
      <sheetName val="01노임적용기준"/>
      <sheetName val="편성절차"/>
      <sheetName val="부대공사재료집계표"/>
      <sheetName val="5 일위목록"/>
      <sheetName val="7 단가조사"/>
      <sheetName val="6 일위대가"/>
      <sheetName val="일위대가표_(2)2"/>
      <sheetName val="공종별_집계표2"/>
      <sheetName val="도급내역서_표지2"/>
      <sheetName val="RING_WALL2"/>
      <sheetName val="Sheet1_(2)2"/>
      <sheetName val="설명서_2"/>
      <sheetName val="실행기고및_투입현황(총괄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내역서1999_8최종2"/>
      <sheetName val="2000,9월_일위2"/>
      <sheetName val="총_원가계산2"/>
      <sheetName val="원가계산서_2"/>
      <sheetName val="단가일람_(2)2"/>
      <sheetName val="2_토목공사2"/>
      <sheetName val="unit_42"/>
      <sheetName val="일위대가_2"/>
      <sheetName val="별표_2"/>
      <sheetName val="실행,원가_최종예상1"/>
      <sheetName val="내역서_제출1"/>
      <sheetName val="101동_1"/>
      <sheetName val="주공_갑지1"/>
      <sheetName val="Customer_Databas1"/>
      <sheetName val="변압기_및_발전기_용량1"/>
      <sheetName val="중기_부표1"/>
      <sheetName val="b_babun_(2)1"/>
      <sheetName val="복지관_풍화암-평면1"/>
      <sheetName val="단가대비표_(2)1"/>
      <sheetName val="2_대외공문1"/>
      <sheetName val="AS포장복구_1"/>
      <sheetName val="토공(우물통,기타)_1"/>
      <sheetName val="s_v1"/>
      <sheetName val="건축공사_집계표1"/>
      <sheetName val="4_전기1"/>
      <sheetName val="1차_내역서1"/>
      <sheetName val="1_설계조건1"/>
      <sheetName val="단가대비표_(3)1"/>
      <sheetName val="BSD_(2)"/>
      <sheetName val="단양_00_아파트-세부내역"/>
      <sheetName val="표지_(2)"/>
      <sheetName val="8_수량산출_(2)"/>
      <sheetName val="갑__지"/>
      <sheetName val="총_괄_표"/>
      <sheetName val="Xunit_(단위환산)"/>
      <sheetName val="할증_"/>
      <sheetName val="노임단가_(2)"/>
      <sheetName val="내역_ver1_0"/>
      <sheetName val="기존단가_(2)"/>
      <sheetName val="수목데이타_"/>
      <sheetName val="7_산출집계"/>
      <sheetName val="4_일위산출"/>
      <sheetName val="9_자재단가"/>
      <sheetName val="자__재"/>
      <sheetName val="단가_"/>
      <sheetName val="플랜트_설치"/>
      <sheetName val="표__지"/>
      <sheetName val="3_단가산출서"/>
      <sheetName val="준검_내역서"/>
      <sheetName val="단가산출서_(2)"/>
      <sheetName val="입출재고현황_(2)"/>
      <sheetName val="세골재__T2_변경_현황"/>
      <sheetName val="빌딩_안내"/>
      <sheetName val="현장관리비_산출내역"/>
      <sheetName val="주빔의_설계"/>
      <sheetName val="공기압"/>
      <sheetName val="공기압丵〒"/>
      <sheetName val="단가_및_재료비"/>
      <sheetName val="3BL공동구_수량"/>
      <sheetName val="배수관접합및부설__"/>
      <sheetName val="실행내역(10_13)"/>
      <sheetName val="1_개요입력"/>
      <sheetName val="3_단᠚░　胉"/>
      <sheetName val="3_단ᠢ╋賳"/>
      <sheetName val="6PILE__(돌출)"/>
      <sheetName val="3_단렖⪇퀀顴"/>
      <sheetName val="5_수량집계"/>
      <sheetName val="3_일위대가표"/>
      <sheetName val="8_자재단가비교표"/>
      <sheetName val="노무비_근거"/>
      <sheetName val="횡_연장"/>
      <sheetName val="전선_및_전선관"/>
      <sheetName val="중기조종사_단위단가"/>
      <sheetName val="총괄표_"/>
      <sheetName val="1_"/>
      <sheetName val="실행내역_"/>
      <sheetName val="2_재료비"/>
      <sheetName val="1_인건비"/>
      <sheetName val="12_보오링"/>
      <sheetName val="18_공내수압탄성자연"/>
      <sheetName val="3_내역서"/>
      <sheetName val="TRE_TABLE"/>
      <sheetName val="공사비_증감_내역서"/>
      <sheetName val="3_단爁녈/"/>
      <sheetName val="1호맨홀토공"/>
      <sheetName val="전기실-1"/>
      <sheetName val="빙축열"/>
      <sheetName val="가설"/>
      <sheetName val="기초"/>
      <sheetName val="9811"/>
      <sheetName val="XL4Poppy"/>
      <sheetName val="적정심사"/>
      <sheetName val="기타 정보통신공사"/>
      <sheetName val="구조물철거타공정이월"/>
      <sheetName val="2000년 공정표"/>
      <sheetName val="인건비 "/>
      <sheetName val="참조 (2)"/>
      <sheetName val="직접재료비데이타"/>
      <sheetName val="계산서(곡선부)"/>
      <sheetName val="시장성초안camera"/>
      <sheetName val="Mc1"/>
      <sheetName val="상 부"/>
      <sheetName val="전산output"/>
      <sheetName val="포장공(집계)"/>
      <sheetName val="상행-교대(A1-A2)"/>
      <sheetName val="입력값"/>
      <sheetName val="원가계산하도"/>
      <sheetName val="내역전기"/>
      <sheetName val="[내역(~2.XLS]3.단爁녈/_x0000_"/>
      <sheetName val="[내역(~2.XLS]3_단爁녈/"/>
      <sheetName val="동해title"/>
      <sheetName val="단가대비표(계측)"/>
      <sheetName val="sub"/>
      <sheetName val="단가조사-2"/>
      <sheetName val="포장총괄집계표"/>
      <sheetName val="산출3-동력"/>
      <sheetName val="산출4-전등"/>
      <sheetName val="COPING"/>
      <sheetName val="XXXXXX"/>
      <sheetName val="공사원가"/>
      <sheetName val="관급자재"/>
      <sheetName val="예가표"/>
      <sheetName val="일위대가-1"/>
      <sheetName val="단가적용"/>
      <sheetName val="RESOURCE"/>
      <sheetName val="할증"/>
      <sheetName val="제경비요율"/>
      <sheetName val="B.중기"/>
      <sheetName val="재무가정"/>
      <sheetName val="수량인공"/>
      <sheetName val="입력표"/>
      <sheetName val="절대건들지마시오"/>
      <sheetName val="경리일보"/>
      <sheetName val="과목별합계"/>
      <sheetName val="소요자금청구"/>
      <sheetName val="수지보고(을호지)"/>
      <sheetName val="1.취수장"/>
      <sheetName val="NYS"/>
      <sheetName val="CIVIL4"/>
      <sheetName val="매입"/>
      <sheetName val="관계주식"/>
      <sheetName val="견적"/>
      <sheetName val="물량입력"/>
      <sheetName val="AS접수관리"/>
      <sheetName val="수리보고서蠰"/>
      <sheetName val="수리보고서頀"/>
      <sheetName val="ABUT수԰_x0000_缀_x0000_"/>
      <sheetName val="수리보고서ԯ"/>
      <sheetName val="ABUT수֩_x0000_缀_x0000_"/>
      <sheetName val="직원자颩ᢁ︀"/>
      <sheetName val="직원자֩_x0000_缀"/>
      <sheetName val="ABUT수©"/>
      <sheetName val="ABUT수︀蛕ԯ_x0000_"/>
      <sheetName val="S0"/>
      <sheetName val="MAIN"/>
      <sheetName val="8.석축단위(H=1.5M)"/>
      <sheetName val="원하대비"/>
      <sheetName val="원도급"/>
      <sheetName val="하도급"/>
      <sheetName val="현황표-원래"/>
      <sheetName val="지급(진행중)"/>
      <sheetName val="포장집계"/>
      <sheetName val="포장연장"/>
      <sheetName val="공량산출근거서"/>
      <sheetName val="사진 (4)"/>
      <sheetName val="대전가오_견출_집계표"/>
      <sheetName val="MATERIAL"/>
      <sheetName val="공사개요(사업승인변경)"/>
      <sheetName val="3차변경공정"/>
      <sheetName val="펌프류"/>
      <sheetName val="#2 노임단가"/>
      <sheetName val="기초부하"/>
      <sheetName val="하수급견적대비"/>
      <sheetName val="순공사비"/>
      <sheetName val="조직"/>
      <sheetName val="알맹이"/>
      <sheetName val="학력사_x0005_"/>
      <sheetName val="당진1,2호기전선관설치및접지4차공사내역서-을지"/>
      <sheetName val="개요"/>
      <sheetName val="인원"/>
      <sheetName val="횡배䘭疋"/>
      <sheetName val="횡배_x0000__x0000_"/>
      <sheetName val="산출㱵Ķ"/>
      <sheetName val="산출_x0000__x0000_"/>
      <sheetName val="견적업체리스트"/>
      <sheetName val="단가대비표(계측ᛅ"/>
      <sheetName val="돈암사업"/>
      <sheetName val="[내역(~2.XLS][내역(~2.XLS]3.단爁녈/_x0000_"/>
      <sheetName val="[내역(~2.XLS][내역(~2.XLS]3_단爁녈/"/>
      <sheetName val="단가목록"/>
      <sheetName val="물량내역서"/>
      <sheetName val="T13(P68~72,78)"/>
      <sheetName val="단가및재료비"/>
      <sheetName val="N"/>
      <sheetName val="ABUT수䀀Ṳ谀Ṳ"/>
      <sheetName val="ABUT수悩㸣԰_x0000_"/>
      <sheetName val="ABUT수֩"/>
      <sheetName val="ABUT수⢩㙬怀"/>
      <sheetName val="ABUT수֩杭倯/"/>
      <sheetName val="ABUT수좩㺀ఀ㺁"/>
      <sheetName val="대림경상68억"/>
      <sheetName val="안전장치"/>
      <sheetName val="22.경비내역"/>
      <sheetName val="21.경비기본입력"/>
      <sheetName val="3.공기산정"/>
      <sheetName val="34.주택성능등급"/>
      <sheetName val="D.B"/>
      <sheetName val="산근목록"/>
      <sheetName val="가시설수량"/>
      <sheetName val="직접비내역서"/>
      <sheetName val="하수실행"/>
      <sheetName val="단가결정"/>
      <sheetName val="내역아"/>
      <sheetName val="울타리"/>
      <sheetName val="257º_x0000_"/>
      <sheetName val="전기일위목록"/>
      <sheetName val="관접합및부설"/>
      <sheetName val="P-산#1-1(WOWA1)"/>
      <sheetName val="_REF"/>
      <sheetName val="CAT_5"/>
      <sheetName val="calc"/>
      <sheetName val="PROJECT BRIEF"/>
      <sheetName val="피벗테이블데이터분석"/>
      <sheetName val="환경기계공정표 (3)"/>
      <sheetName val="감가상각"/>
      <sheetName val="진주방향"/>
      <sheetName val="기별(종합)"/>
      <sheetName val="구의33고"/>
      <sheetName val="평야부단가"/>
      <sheetName val="CONCRETE"/>
      <sheetName val="상시"/>
      <sheetName val="[내역(~2.XLS]ABUT수֩杭倯/"/>
      <sheetName val="A 견적"/>
      <sheetName val="개발운영비청구"/>
      <sheetName val="토적"/>
      <sheetName val="공사별 가중치 산출근거(토목)"/>
      <sheetName val="가중치근거(조경)"/>
      <sheetName val="CLA뀀ᶌ_x0000_"/>
      <sheetName val="CLA䀀᪍_x0000_"/>
      <sheetName val="CLA䀀ᖑ_x0000_"/>
      <sheetName val="각형맨홀"/>
      <sheetName val="CC16-내역서"/>
      <sheetName val="직원명단"/>
      <sheetName val="토목공사"/>
      <sheetName val="ABUT수ᢩ_x000f__x0000__x0000_"/>
      <sheetName val="신규단가산출"/>
      <sheetName val="내역(가지)"/>
      <sheetName val="FAX"/>
      <sheetName val="인테리어내역"/>
      <sheetName val="[내역(~2.XLS][내역(~2.XLS]ABUT수֩杭倯/"/>
      <sheetName val="3.단ꠀ᥶᥶"/>
      <sheetName val="내역_ver␁㸪䀀"/>
      <sheetName val="ABUT수⠀쀁ꚦ"/>
      <sheetName val="부대공"/>
      <sheetName val="몰탈재료산출"/>
      <sheetName val="우수"/>
      <sheetName val="공기"/>
      <sheetName val="공기압축기렀"/>
      <sheetName val="1공구계약서"/>
      <sheetName val="TOTAL3"/>
      <sheetName val="부대공사"/>
      <sheetName val="특별땅고르기"/>
      <sheetName val="단聭ᎍ"/>
      <sheetName val="단짷걥"/>
      <sheetName val="단ჶ꾎"/>
      <sheetName val="단삯讎"/>
      <sheetName val="단䂯诀"/>
      <sheetName val="단ᛄ"/>
      <sheetName val="단풿"/>
      <sheetName val="단炯瓃"/>
      <sheetName val="단₯雂"/>
      <sheetName val="단킯➎"/>
      <sheetName val="단쁭ꂍ"/>
      <sheetName val="건축내역서1"/>
      <sheetName val="약품설비"/>
      <sheetName val="controll"/>
      <sheetName val="콘_재료분리(1)"/>
      <sheetName val="인부노임"/>
      <sheetName val="건설기계"/>
      <sheetName val="산수배_x0000_"/>
      <sheetName val="현장관리비참조"/>
      <sheetName val="J直材4"/>
      <sheetName val="전등설비"/>
      <sheetName val="단가대비표(계측_x0005_"/>
      <sheetName val="물가시세표"/>
      <sheetName val="경지교총괄"/>
      <sheetName val="16-1"/>
      <sheetName val="TEL"/>
      <sheetName val="가계부"/>
      <sheetName val="제품목록"/>
      <sheetName val="매입매출관리"/>
      <sheetName val="1NYS(당)"/>
      <sheetName val="CODE2"/>
      <sheetName val="CODE1"/>
      <sheetName val="진입로등"/>
      <sheetName val="종배수관(신)"/>
      <sheetName val="L_RPTA05_목록"/>
      <sheetName val="적용단위길이"/>
      <sheetName val="위치조서"/>
      <sheetName val="9509"/>
      <sheetName val="업무보고"/>
      <sheetName val="4-10"/>
      <sheetName val="가설공사내역"/>
      <sheetName val="98수문일위"/>
      <sheetName val="예산결제란"/>
      <sheetName val="설명서"/>
      <sheetName val="갈현동"/>
      <sheetName val="기계경비"/>
      <sheetName val="97년 추정"/>
      <sheetName val="종배수관면벽구"/>
      <sheetName val="일위-1"/>
      <sheetName val="내역_ver︀듕ԯ"/>
      <sheetName val="직접_x0005__x0000_"/>
      <sheetName val="const."/>
      <sheetName val="48일위(기존)"/>
      <sheetName val="1.1서버도입"/>
      <sheetName val="건설산출"/>
      <sheetName val="1을"/>
      <sheetName val="내역_ver_x0000__x0000_Ԁ"/>
      <sheetName val="FAB별"/>
      <sheetName val="분석대장"/>
      <sheetName val="노단"/>
      <sheetName val="장비종합부표"/>
      <sheetName val="집계표_식재"/>
      <sheetName val="CABLE SIZE-1"/>
      <sheetName val="단가산출_x0000__x0000_墈_x0000__x0000_"/>
      <sheetName val="수리결과"/>
      <sheetName val="공사비총괄"/>
      <sheetName val="7.PILE  (돌출)"/>
      <sheetName val="제원및배치"/>
      <sheetName val="내역_ver®_x0000_Ԁ"/>
      <sheetName val="내역_ver怀ᚐ_x0000_"/>
      <sheetName val="전차선로 물량표"/>
      <sheetName val="돌담교 상부수량"/>
      <sheetName val="예정공정완"/>
      <sheetName val="주출입구_x0000__x0000_"/>
      <sheetName val="확정조서(총괄)"/>
      <sheetName val="확정조서변경후(세부)"/>
      <sheetName val="CA지입"/>
      <sheetName val="부총"/>
      <sheetName val="산출䘭癶"/>
      <sheetName val="횡배咘Ȏ"/>
      <sheetName val="산출券%"/>
      <sheetName val="아수배전(1회)"/>
      <sheetName val="본공사"/>
      <sheetName val="집행현황"/>
      <sheetName val="2공구내역서"/>
      <sheetName val="2-1. 경관조명 내역총괄표"/>
      <sheetName val="전입"/>
      <sheetName val="코스모공장 (어음)"/>
      <sheetName val="분수장비시설수량"/>
      <sheetName val="HORI. VESSEL"/>
      <sheetName val="충׉"/>
      <sheetName val="지하시설물작성"/>
      <sheetName val="36신설수량"/>
      <sheetName val="수량산출서OS"/>
      <sheetName val="II손익관리"/>
      <sheetName val="PRO-ACT"/>
      <sheetName val="작업일보"/>
      <sheetName val="지급(1)"/>
      <sheetName val="광주광역시신청사"/>
      <sheetName val="대가"/>
      <sheetName val="단  가  대  비  표"/>
      <sheetName val="일  위  대  가  목  록"/>
      <sheetName val="선급비용"/>
      <sheetName val="CON岈6"/>
      <sheetName val="계획금紼"/>
      <sheetName val="공작물조직표(용배수)"/>
      <sheetName val="집수정(600-700)"/>
      <sheetName val="본부장"/>
      <sheetName val="제품단가명세표"/>
      <sheetName val="노임단가명세표"/>
      <sheetName val="빗물받이(910-510-㝘¯㤰ࡒ"/>
      <sheetName val="기초자료입력"/>
      <sheetName val="횡배수관토공수량"/>
      <sheetName val="BOOK4"/>
      <sheetName val="암거날개벽"/>
      <sheetName val="준공조서갑지"/>
      <sheetName val="자재(원원+원대)"/>
      <sheetName val="측량대가표"/>
      <sheetName val="굴화내역"/>
      <sheetName val="제잡비집계"/>
      <sheetName val="원가 (2)"/>
      <sheetName val="용역비내역-진짜"/>
      <sheetName val="기성내역서"/>
      <sheetName val="입찰"/>
      <sheetName val="현경"/>
      <sheetName val="석축설면"/>
      <sheetName val="공예을"/>
      <sheetName val="Input"/>
      <sheetName val="물가자료"/>
      <sheetName val="공사설계서"/>
      <sheetName val="유효폭의 계산"/>
      <sheetName val="원가식재"/>
      <sheetName val="신천3호용수로"/>
      <sheetName val="내역서(토목)"/>
      <sheetName val="거래명세표"/>
      <sheetName val="직접인건栘"/>
      <sheetName val="건축내역(진해석동)"/>
      <sheetName val="공내역"/>
      <sheetName val="계화배수"/>
      <sheetName val="기계경비산출기준"/>
      <sheetName val="구역화물"/>
      <sheetName val="회사기초자료"/>
      <sheetName val="건설기계가격"/>
      <sheetName val="건강연금보험"/>
      <sheetName val="고용보험"/>
      <sheetName val="물가발표일"/>
      <sheetName val="산재보험"/>
      <sheetName val="실적공사비발표일"/>
      <sheetName val="안전관리"/>
      <sheetName val="장비기준"/>
      <sheetName val="조경수목"/>
      <sheetName val="퇴직공제부금"/>
      <sheetName val="평균노임"/>
      <sheetName val="증감내역서"/>
      <sheetName val="신항수로관조서"/>
      <sheetName val="신항용수로집계"/>
      <sheetName val="양수장"/>
      <sheetName val="대로근거"/>
      <sheetName val="중로근거"/>
      <sheetName val="설비(제출_x0005_"/>
      <sheetName val="설비(제출헾"/>
      <sheetName val="토공정보"/>
      <sheetName val="공사비내역서"/>
      <sheetName val="COA-17"/>
      <sheetName val="C-18"/>
      <sheetName val="기본"/>
      <sheetName val="공사기본내용입력"/>
      <sheetName val="공사내역(2003년)"/>
      <sheetName val="배수장토목공사비"/>
      <sheetName val="투찰"/>
      <sheetName val="001"/>
      <sheetName val="간접비"/>
      <sheetName val="지급_x0000__x0000_"/>
      <sheetName val="맨홀수량산출"/>
      <sheetName val="3.단씀鈖ԯ_x0000_"/>
      <sheetName val="봉양~조차장간고하개명(신설)"/>
      <sheetName val="구조물토적"/>
      <sheetName val="4.2내역서"/>
      <sheetName val="tggwan(me탸"/>
      <sheetName val="22신설수량"/>
      <sheetName val="48신설일위대가"/>
      <sheetName val="철거일위대가"/>
      <sheetName val="현장조사"/>
      <sheetName val="일위총괄표"/>
      <sheetName val="원내역"/>
      <sheetName val="지가케포"/>
      <sheetName val="직접비"/>
      <sheetName val="tggwan(ma౐̪"/>
      <sheetName val="SLAÅ_x0000__x0000__x0001_"/>
      <sheetName val="전동기"/>
      <sheetName val="직원자　㢐馃"/>
      <sheetName val="2002상반기노임기준"/>
      <sheetName val="수량산출서 (2)"/>
      <sheetName val="날개수량1.5"/>
      <sheetName val="관경별내역서"/>
      <sheetName val="우수공"/>
      <sheetName val="공종별자재"/>
      <sheetName val="임율 Data"/>
      <sheetName val="건축내역(동해조인)"/>
      <sheetName val="2.냉난방설비공사"/>
      <sheetName val="7.자동제어공사"/>
      <sheetName val="제품정보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데이터"/>
      <sheetName val="직원"/>
      <sheetName val="직접공사비산출내역"/>
      <sheetName val="Escalation"/>
      <sheetName val="일위대가표_(2)3"/>
      <sheetName val="공종별_집계표3"/>
      <sheetName val="도급내역서_표지3"/>
      <sheetName val="RING_WALL3"/>
      <sheetName val="Sheet1_(2)3"/>
      <sheetName val="설명서_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000,9월_일위3"/>
      <sheetName val="내역서1999_8최종3"/>
      <sheetName val="실행기고및_투입현황(총괄)3"/>
      <sheetName val="총_원가계산3"/>
      <sheetName val="단가일람_(2)3"/>
      <sheetName val="원가계산서_3"/>
      <sheetName val="일위대가_3"/>
      <sheetName val="2_토목공사3"/>
      <sheetName val="s_v2"/>
      <sheetName val="별표_3"/>
      <sheetName val="unit_43"/>
      <sheetName val="내역서_제출2"/>
      <sheetName val="실행,원가_최종예상2"/>
      <sheetName val="주공_갑지2"/>
      <sheetName val="101동_2"/>
      <sheetName val="Customer_Databas2"/>
      <sheetName val="중기_부표2"/>
      <sheetName val="변압기_및_발전기_용량2"/>
      <sheetName val="AS포장복구_2"/>
      <sheetName val="복지관_풍화암-평면2"/>
      <sheetName val="단가대비표_(2)2"/>
      <sheetName val="b_babun_(2)2"/>
      <sheetName val="2_대외공문2"/>
      <sheetName val="1차_내역서2"/>
      <sheetName val="건축공사_집계표2"/>
      <sheetName val="4_전기2"/>
      <sheetName val="토공(우물통,기타)_2"/>
      <sheetName val="1_설계조건2"/>
      <sheetName val="단가대비표_(3)2"/>
      <sheetName val="BSD_(2)1"/>
      <sheetName val="표지_(2)1"/>
      <sheetName val="단양_00_아파트-세부내역1"/>
      <sheetName val="갑__지1"/>
      <sheetName val="총_괄_표1"/>
      <sheetName val="플랜트_설치1"/>
      <sheetName val="8_수량산출_(2)1"/>
      <sheetName val="Xunit_(단위환산)1"/>
      <sheetName val="할증_1"/>
      <sheetName val="노임단가_(2)1"/>
      <sheetName val="기존단가_(2)1"/>
      <sheetName val="수목데이타_1"/>
      <sheetName val="7_산출집계1"/>
      <sheetName val="4_일위산출1"/>
      <sheetName val="9_자재단가1"/>
      <sheetName val="자__재1"/>
      <sheetName val="단가_1"/>
      <sheetName val="내역_ver1_01"/>
      <sheetName val="표__지1"/>
      <sheetName val="준검_내역서1"/>
      <sheetName val="단가산출서_(2)1"/>
      <sheetName val="입출재고현황_(2)1"/>
      <sheetName val="3_단가산출서1"/>
      <sheetName val="빌딩_안내1"/>
      <sheetName val="현장관리비_산출내역1"/>
      <sheetName val="세골재__T2_변경_현황1"/>
      <sheetName val="주빔의_설계1"/>
      <sheetName val="단가_및_재료비1"/>
      <sheetName val="3BL공동구_수량1"/>
      <sheetName val="배수관접합및부설__1"/>
      <sheetName val="실행내역(10_13)1"/>
      <sheetName val="1_개요입력1"/>
      <sheetName val="3_단᠚░　胉1"/>
      <sheetName val="3_단ᠢ╋賳1"/>
      <sheetName val="6PILE__(돌출)1"/>
      <sheetName val="3_단렖⪇퀀顴1"/>
      <sheetName val="총괄표_1"/>
      <sheetName val="1_1"/>
      <sheetName val="실행내역_1"/>
      <sheetName val="2_재료비1"/>
      <sheetName val="1_인건비1"/>
      <sheetName val="12_보오링1"/>
      <sheetName val="18_공내수압탄성자연1"/>
      <sheetName val="TRE_TABLE1"/>
      <sheetName val="공사비_증감_내역서1"/>
      <sheetName val="전선_및_전선관1"/>
      <sheetName val="HRSG_SMALL07220"/>
      <sheetName val="5_수량집계1"/>
      <sheetName val="3_일위대가표1"/>
      <sheetName val="8_자재단가비교표1"/>
      <sheetName val="8_PILE__(돌출)"/>
      <sheetName val="횡_연장1"/>
      <sheetName val="노무비_근거1"/>
      <sheetName val="3_내역서1"/>
      <sheetName val="중기조종사_단위단가1"/>
      <sheetName val="기타_정보통신공사"/>
      <sheetName val="2000년_공정표"/>
      <sheetName val="인건비_"/>
      <sheetName val="참조_(2)"/>
      <sheetName val="3_단蠀ᵷ찀ᵷ"/>
      <sheetName val="3_단⠀⑶氀⑶"/>
      <sheetName val="집계표_"/>
      <sheetName val="spc_배관견적"/>
      <sheetName val="배관배선_단가조사"/>
      <sheetName val="C1_공사개요"/>
      <sheetName val="A1_스케쥴"/>
      <sheetName val="5_일위목록"/>
      <sheetName val="7_단가조사"/>
      <sheetName val="6_일위대가"/>
      <sheetName val="상_부"/>
      <sheetName val="[내역(~2_XLS]3_단爁녈/"/>
      <sheetName val="사진_(4)"/>
      <sheetName val="#2_노임단가"/>
      <sheetName val="학력사"/>
      <sheetName val="1_취수장"/>
      <sheetName val="B_중기"/>
      <sheetName val="1_자원총괄"/>
      <sheetName val="[내역(~2_XLS][내역(~2_XLS]3_단爁녈/"/>
      <sheetName val="8_석축단위(H=1_5M)"/>
      <sheetName val="22_경비내역"/>
      <sheetName val="21_경비기본입력"/>
      <sheetName val="3_공기산정"/>
      <sheetName val="34_주택성능등급"/>
      <sheetName val="D_B"/>
      <sheetName val="수량총괄표"/>
      <sheetName val="포장수량집계"/>
      <sheetName val="본선포장수량"/>
      <sheetName val="포장단위수량"/>
      <sheetName val="접속설치율및 TL값)"/>
      <sheetName val="부채도로수량집계"/>
      <sheetName val="부채도로"/>
      <sheetName val="구조물간 포장집계"/>
      <sheetName val="구조물 증감 단수"/>
      <sheetName val="도로표준단면"/>
      <sheetName val="Module1"/>
      <sheetName val="집  계  표"/>
      <sheetName val="포장자재집계표"/>
      <sheetName val="포장공집계"/>
      <sheetName val="본선포장"/>
      <sheetName val="본선단위수량"/>
      <sheetName val="접속도로1"/>
      <sheetName val="접속도로2"/>
      <sheetName val="확폭부"/>
      <sheetName val="정차대집계"/>
      <sheetName val="정차대"/>
      <sheetName val="부체,과속"/>
      <sheetName val="구조물구간"/>
      <sheetName val="공제위치"/>
      <sheetName val="공제단위수량"/>
      <sheetName val="접속도로"/>
      <sheetName val="진입도로"/>
      <sheetName val="차선도색"/>
      <sheetName val=" HIT-&gt;HMC 견적(3900)"/>
      <sheetName val="간선계산"/>
      <sheetName val="ELECTRIC"/>
      <sheetName val="총내역서"/>
      <sheetName val="12호기내역서(건축분)"/>
      <sheetName val="FAB4생산"/>
      <sheetName val="과거면_x0005__x0000__x0000_"/>
      <sheetName val="과거면헾⽕_x0005__x0000_"/>
      <sheetName val="전년도대비"/>
      <sheetName val="동.총"/>
      <sheetName val="배수관토공산출"/>
      <sheetName val="가설공사"/>
      <sheetName val="노임단"/>
      <sheetName val="배수공"/>
      <sheetName val="운반공"/>
      <sheetName val="자재단"/>
      <sheetName val="장비단"/>
      <sheetName val="플랜트 ࢸ⁓"/>
      <sheetName val="플랜트 ָ_x0000_"/>
      <sheetName val="내역_ver倀ⷁ_x0000_"/>
      <sheetName val="단炯徍"/>
      <sheetName val="CLA⁮ᮑʵ"/>
      <sheetName val="CLA䁮ྒ痳"/>
      <sheetName val="품셈"/>
      <sheetName val="노임단가산출근거"/>
      <sheetName val="총괄서"/>
      <sheetName val="내역서삼척건지"/>
      <sheetName val="단가 (2)"/>
      <sheetName val="EQ-R1"/>
      <sheetName val="투찰금액"/>
      <sheetName val="공통"/>
      <sheetName val="자재운반단가일람표"/>
      <sheetName val="세부내역서"/>
      <sheetName val="준공내역"/>
      <sheetName val="EJ"/>
      <sheetName val="종배수관"/>
      <sheetName val="위치"/>
      <sheetName val="내역_verז_x0000_缀"/>
      <sheetName val="내역_ver_xd8d6_쾀ᰀ"/>
      <sheetName val="정산변경내역"/>
      <sheetName val="플랜트 설䀀"/>
      <sheetName val="행정정보시스템현황표가로"/>
      <sheetName val="토적표"/>
      <sheetName val="내역_verÖ_x0000_Ԁ"/>
      <sheetName val="전등부하"/>
      <sheetName val="P3"/>
      <sheetName val="CTEMCOST"/>
      <sheetName val="0005 측량공사.xlsx"/>
      <sheetName val="공기압축기_x0000_"/>
      <sheetName val="단가비교"/>
      <sheetName val="전도금정산집계"/>
      <sheetName val="직원자_x0000__x0000_Ԁ"/>
      <sheetName val="중동상가"/>
      <sheetName val="기안문"/>
      <sheetName val="단가산출목록표"/>
      <sheetName val="ITB COST"/>
      <sheetName val="가격산출기본데이타"/>
      <sheetName val="분양계약자명단239명 (2)"/>
      <sheetName val="CLA完꧅"/>
      <sheetName val="sw1"/>
      <sheetName val="환경인력"/>
      <sheetName val="철콘깨기단산"/>
      <sheetName val="골재운반"/>
      <sheetName val="Macro(MCC)"/>
      <sheetName val="SORCE1"/>
      <sheetName val="CIVIL"/>
      <sheetName val="유_x0000__x0000__x0005_"/>
      <sheetName val="토공A"/>
      <sheetName val="100만평"/>
      <sheetName val="처리업체"/>
      <sheetName val="일위대가표_(2)4"/>
      <sheetName val="공종별_집계표4"/>
      <sheetName val="도급내역서_표지4"/>
      <sheetName val="RING_WALL4"/>
      <sheetName val="설명서_4"/>
      <sheetName val="Sheet1_(2)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내역서1999_8최종4"/>
      <sheetName val="단가일람_(2)4"/>
      <sheetName val="별표_4"/>
      <sheetName val="실행기고및_투입현황(총괄)4"/>
      <sheetName val="원가계산서_4"/>
      <sheetName val="총_원가계산4"/>
      <sheetName val="내역서_제출3"/>
      <sheetName val="unit_44"/>
      <sheetName val="일위대가_4"/>
      <sheetName val="2_토목공사4"/>
      <sheetName val="Customer_Databas3"/>
      <sheetName val="실행,원가_최종예상3"/>
      <sheetName val="101동_3"/>
      <sheetName val="주공_갑지3"/>
      <sheetName val="중기_부표3"/>
      <sheetName val="AS포장복구_3"/>
      <sheetName val="s_v3"/>
      <sheetName val="토공(우물통,기타)_3"/>
      <sheetName val="1_설계조건3"/>
      <sheetName val="BSD_(2)2"/>
      <sheetName val="단가대비표_(2)3"/>
      <sheetName val="복지관_풍화암-평면3"/>
      <sheetName val="건축공사_집계표3"/>
      <sheetName val="1차_내역서3"/>
      <sheetName val="변압기_및_발전기_용량3"/>
      <sheetName val="8_수량산출_(2)2"/>
      <sheetName val="단가대비표_(3)3"/>
      <sheetName val="b_babun_(2)3"/>
      <sheetName val="2_대외공문3"/>
      <sheetName val="갑__지2"/>
      <sheetName val="4_전기3"/>
      <sheetName val="표__지2"/>
      <sheetName val="빌딩_안내2"/>
      <sheetName val="단양_00_아파트-세부내역2"/>
      <sheetName val="총_괄_표2"/>
      <sheetName val="표지_(2)2"/>
      <sheetName val="준검_내역서2"/>
      <sheetName val="기존단가_(2)2"/>
      <sheetName val="Xunit_(단위환산)2"/>
      <sheetName val="할증_2"/>
      <sheetName val="수목데이타_2"/>
      <sheetName val="노임단가_(2)2"/>
      <sheetName val="7_산출집계2"/>
      <sheetName val="4_일위산출2"/>
      <sheetName val="9_자재단가2"/>
      <sheetName val="자__재2"/>
      <sheetName val="내역_ver1_02"/>
      <sheetName val="단가_2"/>
      <sheetName val="공사비_증감_내역서2"/>
      <sheetName val="플랜트_설치2"/>
      <sheetName val="단가산출서_(2)2"/>
      <sheetName val="3_단가산출서2"/>
      <sheetName val="입출재고현황_(2)2"/>
      <sheetName val="세골재__T2_변경_현황2"/>
      <sheetName val="주빔의_설계2"/>
      <sheetName val="5_수량집계2"/>
      <sheetName val="3_일위대가표2"/>
      <sheetName val="8_자재단가비교표2"/>
      <sheetName val="노무비_근거2"/>
      <sheetName val="3_내역서2"/>
      <sheetName val="현장관리비_산출내역2"/>
      <sheetName val="실행내역(10_13)2"/>
      <sheetName val="1_개요입력2"/>
      <sheetName val="총괄표_2"/>
      <sheetName val="배수관접합및부설__2"/>
      <sheetName val="단가_및_재료비2"/>
      <sheetName val="TRE_TABLE2"/>
      <sheetName val="8_PILE__(돌출)1"/>
      <sheetName val="전선_및_전선관2"/>
      <sheetName val="배관배선_단가조사1"/>
      <sheetName val="3_단᠚░　胉2"/>
      <sheetName val="3_단ᠢ╋賳2"/>
      <sheetName val="6PILE__(돌출)2"/>
      <sheetName val="3_단렖⪇퀀顴2"/>
      <sheetName val="인건비_1"/>
      <sheetName val="1_2"/>
      <sheetName val="3BL공동구_수량2"/>
      <sheetName val="2_재료비2"/>
      <sheetName val="1_인건비2"/>
      <sheetName val="12_보오링2"/>
      <sheetName val="18_공내수압탄성자연2"/>
      <sheetName val="HRSG_SMALL072201"/>
      <sheetName val="실행내역_2"/>
      <sheetName val="횡_연장2"/>
      <sheetName val="중기조종사_단위단가2"/>
      <sheetName val="사진_(4)1"/>
      <sheetName val="2000년_공정표1"/>
      <sheetName val="집계표_1"/>
      <sheetName val="3_단蠀ᵷ찀ᵷ1"/>
      <sheetName val="3_단⠀⑶氀⑶1"/>
      <sheetName val="기타_정보통신공사1"/>
      <sheetName val="참조_(2)1"/>
      <sheetName val="5_일위목록1"/>
      <sheetName val="7_단가조사1"/>
      <sheetName val="6_일위대가1"/>
      <sheetName val="spc_배관견적1"/>
      <sheetName val="C1_공사개요1"/>
      <sheetName val="A1_스케쥴1"/>
      <sheetName val="22_경비내역1"/>
      <sheetName val="21_경비기본입력1"/>
      <sheetName val="3_공기산정1"/>
      <sheetName val="34_주택성능등급1"/>
      <sheetName val="1_취수장1"/>
      <sheetName val="상_부1"/>
      <sheetName val="8_석축단위(H=1_5M)1"/>
      <sheetName val="D_B1"/>
      <sheetName val="1_자원총괄1"/>
      <sheetName val="PROJECT_BRIEF1"/>
      <sheetName val="#2_노임단가1"/>
      <sheetName val="A_견적1"/>
      <sheetName val="CABLE_SIZE-11"/>
      <sheetName val="3_단ꠀ᥶᥶1"/>
      <sheetName val="공사별_가중치_산출근거(토목)1"/>
      <sheetName val="ABUT수ᢩ"/>
      <sheetName val="[내역(~2_XLS][내역(~2_XLS]ABUT수֩杭倯1"/>
      <sheetName val="[내역(~2_XLS]ABUT수֩杭倯/1"/>
      <sheetName val="환경기계공정표_(3)1"/>
      <sheetName val="[내역(~2_XLS]3_단爁녈/1"/>
      <sheetName val="[내역(~2_XLS][내역(~2_XLS]3_단爁녈/1"/>
      <sheetName val="PROJECT_BRIEF"/>
      <sheetName val="A_견적"/>
      <sheetName val="CABLE_SIZE-1"/>
      <sheetName val="3_단ꠀ᥶᥶"/>
      <sheetName val="공사별_가중치_산출근거(토목)"/>
      <sheetName val="[내역(~2_XLS][내역(~2_XLS]ABUT수֩杭倯/"/>
      <sheetName val="[내역(~2_XLS]ABUT수֩杭倯/"/>
      <sheetName val="환경기계공정표_(3)"/>
      <sheetName val="일위대가표_(2)5"/>
      <sheetName val="공종별_집계표5"/>
      <sheetName val="도급내역서_표지5"/>
      <sheetName val="RING_WALL5"/>
      <sheetName val="설명서_5"/>
      <sheetName val="Sheet1_(2)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내역서1999_8최종5"/>
      <sheetName val="단가일람_(2)5"/>
      <sheetName val="별표_5"/>
      <sheetName val="실행기고및_투입현황(총괄)5"/>
      <sheetName val="원가계산서_5"/>
      <sheetName val="총_원가계산5"/>
      <sheetName val="내역서_제출4"/>
      <sheetName val="unit_45"/>
      <sheetName val="일위대가_5"/>
      <sheetName val="2_토목공사5"/>
      <sheetName val="Customer_Databas4"/>
      <sheetName val="실행,원가_최종예상4"/>
      <sheetName val="101동_4"/>
      <sheetName val="주공_갑지4"/>
      <sheetName val="중기_부표4"/>
      <sheetName val="AS포장복구_4"/>
      <sheetName val="s_v4"/>
      <sheetName val="토공(우물통,기타)_4"/>
      <sheetName val="1_설계조건4"/>
      <sheetName val="BSD_(2)3"/>
      <sheetName val="단가대비표_(2)4"/>
      <sheetName val="복지관_풍화암-평면4"/>
      <sheetName val="건축공사_집계표4"/>
      <sheetName val="1차_내역서4"/>
      <sheetName val="변압기_및_발전기_용량4"/>
      <sheetName val="8_수량산출_(2)3"/>
      <sheetName val="단가대비표_(3)4"/>
      <sheetName val="b_babun_(2)4"/>
      <sheetName val="2_대외공문4"/>
      <sheetName val="갑__지3"/>
      <sheetName val="4_전기4"/>
      <sheetName val="표__지3"/>
      <sheetName val="빌딩_안내3"/>
      <sheetName val="단양_00_아파트-세부내역3"/>
      <sheetName val="총_괄_표3"/>
      <sheetName val="표지_(2)3"/>
      <sheetName val="준검_내역서3"/>
      <sheetName val="기존단가_(2)3"/>
      <sheetName val="Xunit_(단위환산)3"/>
      <sheetName val="할증_3"/>
      <sheetName val="수목데이타_3"/>
      <sheetName val="노임단가_(2)3"/>
      <sheetName val="7_산출집계3"/>
      <sheetName val="4_일위산출3"/>
      <sheetName val="9_자재단가3"/>
      <sheetName val="자__재3"/>
      <sheetName val="내역_ver1_03"/>
      <sheetName val="단가_3"/>
      <sheetName val="공사비_증감_내역서3"/>
      <sheetName val="플랜트_설치3"/>
      <sheetName val="단가산출서_(2)3"/>
      <sheetName val="3_단가산출서3"/>
      <sheetName val="입출재고현황_(2)3"/>
      <sheetName val="세골재__T2_변경_현황3"/>
      <sheetName val="주빔의_설계3"/>
      <sheetName val="5_수량집계3"/>
      <sheetName val="3_일위대가표3"/>
      <sheetName val="8_자재단가비교표3"/>
      <sheetName val="노무비_근거3"/>
      <sheetName val="3_내역서3"/>
      <sheetName val="현장관리비_산출내역3"/>
      <sheetName val="실행내역(10_13)3"/>
      <sheetName val="1_개요입력3"/>
      <sheetName val="총괄표_3"/>
      <sheetName val="배수관접합및부설__3"/>
      <sheetName val="단가_및_재료비3"/>
      <sheetName val="TRE_TABLE3"/>
      <sheetName val="8_PILE__(돌출)2"/>
      <sheetName val="전선_및_전선관3"/>
      <sheetName val="배관배선_단가조사2"/>
      <sheetName val="3_단᠚░　胉3"/>
      <sheetName val="3_단ᠢ╋賳3"/>
      <sheetName val="6PILE__(돌출)3"/>
      <sheetName val="3_단렖⪇퀀顴3"/>
      <sheetName val="인건비_2"/>
      <sheetName val="1_3"/>
      <sheetName val="3BL공동구_수량3"/>
      <sheetName val="2_재료비3"/>
      <sheetName val="1_인건비3"/>
      <sheetName val="12_보오링3"/>
      <sheetName val="18_공내수압탄성자연3"/>
      <sheetName val="HRSG_SMALL072202"/>
      <sheetName val="실행내역_3"/>
      <sheetName val="횡_연장3"/>
      <sheetName val="중기조종사_단위단가3"/>
      <sheetName val="사진_(4)2"/>
      <sheetName val="2000년_공정표2"/>
      <sheetName val="집계표_2"/>
      <sheetName val="3_단蠀ᵷ찀ᵷ2"/>
      <sheetName val="3_단⠀⑶氀⑶2"/>
      <sheetName val="기타_정보통신공사2"/>
      <sheetName val="참조_(2)2"/>
      <sheetName val="5_일위목록2"/>
      <sheetName val="7_단가조사2"/>
      <sheetName val="6_일위대가2"/>
      <sheetName val="spc_배관견적2"/>
      <sheetName val="C1_공사개요2"/>
      <sheetName val="A1_스케쥴2"/>
      <sheetName val="22_경비내역2"/>
      <sheetName val="21_경비기본입력2"/>
      <sheetName val="3_공기산정2"/>
      <sheetName val="34_주택성능등급2"/>
      <sheetName val="1_취수장2"/>
      <sheetName val="상_부2"/>
      <sheetName val="8_석축단위(H=1_5M)2"/>
      <sheetName val="D_B2"/>
      <sheetName val="1_자원총괄2"/>
      <sheetName val="PROJECT_BRIEF2"/>
      <sheetName val="#2_노임단가2"/>
      <sheetName val="A_견적2"/>
      <sheetName val="CABLE_SIZE-12"/>
      <sheetName val="3_단ꠀ᥶᥶2"/>
      <sheetName val="공사별_가중치_산출근거(토목)2"/>
      <sheetName val="[내역(~2_XLS][내역(~2_XLS]ABUT수֩杭倯2"/>
      <sheetName val="[내역(~2_XLS]ABUT수֩杭倯/2"/>
      <sheetName val="환경기계공정표_(3)2"/>
      <sheetName val="[내역(~2_XLS]3_단爁녈/2"/>
      <sheetName val="[내역(~2_XLS][내역(~2_XLS]3_단爁녈/2"/>
      <sheetName val="Resource2"/>
      <sheetName val="낙차공산출근거"/>
      <sheetName val="공사일위대가"/>
      <sheetName val="COPING-_x0000_"/>
      <sheetName val="내역_verξᚚ_x0001_"/>
      <sheetName val="______DATA____________________2"/>
      <sheetName val="선평원내역"/>
      <sheetName val="[내역(~2.XLS][내역(~2.XLS]_____2__2"/>
      <sheetName val="[내역(~2.XLS][내역(~2.XLS]_____2__3"/>
      <sheetName val="[내역(~2.XLS][내역(~2.XLS]_____2__4"/>
      <sheetName val="기초작업"/>
      <sheetName val="가도공"/>
      <sheetName val="일위부표"/>
      <sheetName val="tggwan(maၒ_x0000_"/>
      <sheetName val="tggwan(ma대ʷ"/>
      <sheetName val="수로BOX"/>
      <sheetName val="서울대규장각(가시설흙막이)"/>
      <sheetName val="tggwan(maֳ_x0000_"/>
      <sheetName val="공기압_x0005_"/>
      <sheetName val="ABUT수԰"/>
      <sheetName val="직원자֩"/>
      <sheetName val="철근총괄집계표"/>
      <sheetName val="단가대비표ꮸ⽟_x0005__x0000_"/>
      <sheetName val="단가대비표埠_x0012_ꮸ⿶"/>
      <sheetName val="48수량"/>
      <sheetName val="49일위"/>
      <sheetName val="22일위"/>
      <sheetName val="49수량"/>
      <sheetName val="장비기준2007"/>
      <sheetName val="4.2유효폭의 계산"/>
      <sheetName val="Ekog10"/>
      <sheetName val="직접_x0005_"/>
      <sheetName val="SLAÅ"/>
      <sheetName val="단중"/>
      <sheetName val="터파기,되메우기,램머,코아"/>
      <sheetName val="단위량당중기"/>
      <sheetName val="정렬"/>
      <sheetName val="pier-1"/>
      <sheetName val="수리보고_x0000__x0000_"/>
      <sheetName val="은행"/>
      <sheetName val="1설비"/>
      <sheetName val="전력비"/>
      <sheetName val="잡비"/>
      <sheetName val="조건표"/>
      <sheetName val="금융비용"/>
      <sheetName val="전국현황"/>
      <sheetName val="제1호단위수량"/>
      <sheetName val="금전출납"/>
      <sheetName val="배수장공사비명세서"/>
      <sheetName val="총_x0005_"/>
      <sheetName val="일위목차"/>
      <sheetName val="경력"/>
      <sheetName val="입력하시오"/>
      <sheetName val="VXXXXXXX"/>
      <sheetName val="공사비집계"/>
      <sheetName val="제직재"/>
      <sheetName val="설직재-1"/>
      <sheetName val="내역서(가중치)"/>
      <sheetName val="[내역(~2.XLS][내역(~2_XLS]3_단爁녈/"/>
      <sheetName val="[내역(~2.XLS][내역(~2_XLS]_____2__2"/>
      <sheetName val="급,배기팬"/>
      <sheetName val="과거면접실»一"/>
      <sheetName val="과거면접실¬̀"/>
      <sheetName val="공기압 _x0000_"/>
      <sheetName val="공기압丵〒 "/>
      <sheetName val="도급원가"/>
      <sheetName val="제안서입력"/>
      <sheetName val="절감계산"/>
      <sheetName val="학생내역"/>
      <sheetName val="내역서(기성청구)"/>
      <sheetName val="GC산출"/>
      <sheetName val="공기압축기_x0003_"/>
      <sheetName val="내역_ver®"/>
      <sheetName val="내역_ver"/>
      <sheetName val="유"/>
      <sheetName val="내역_ver迤뫡"/>
      <sheetName val="내역_ver䂰澠ೢ"/>
      <sheetName val="단¯裂"/>
      <sheetName val="단킯"/>
      <sheetName val="단ꂯ꒾"/>
      <sheetName val="단뀄킏"/>
      <sheetName val="단炯㯀"/>
      <sheetName val="단炯黁"/>
      <sheetName val="단ク㛅"/>
      <sheetName val="단蒏"/>
      <sheetName val="단ꂯ_xdbbe_"/>
      <sheetName val="단킯폄"/>
      <sheetName val="단끭惀"/>
      <sheetName val="단傯ʓ"/>
      <sheetName val="단խ_x0000_"/>
      <sheetName val="단惆ヂ"/>
      <sheetName val="단烆ڔ"/>
      <sheetName val="단䉭ᅪ"/>
      <sheetName val="단郆ඎ"/>
      <sheetName val="단냆ᢿ"/>
      <sheetName val="단ၣ↕"/>
      <sheetName val="단灣⇄"/>
      <sheetName val="단惀榿"/>
      <sheetName val="단僆颐"/>
      <sheetName val="단냶皓"/>
      <sheetName val="단킯ῃ"/>
      <sheetName val="단Ⴏ뛅"/>
      <sheetName val="단悯㷀"/>
      <sheetName val="단킯仃"/>
      <sheetName val="단း뾒"/>
      <sheetName val="단耀辐"/>
      <sheetName val="단䀄➍"/>
      <sheetName val="97(US,EP,PCT,KR)"/>
      <sheetName val="추진전략"/>
      <sheetName val="단툀ᩘ"/>
      <sheetName val="단倄⾓"/>
      <sheetName val="단볆䁛"/>
      <sheetName val="단テ릏"/>
      <sheetName val="단Ⴠ"/>
      <sheetName val="단Æ"/>
      <sheetName val="단탆侑"/>
      <sheetName val="단僆ι"/>
      <sheetName val="단烆咑"/>
      <sheetName val="단䃆哀"/>
      <sheetName val="단僆ׁ"/>
      <sheetName val="단ꃆ׃"/>
      <sheetName val="단냆貾"/>
      <sheetName val="단ꅐ"/>
      <sheetName val="단ꂯ�"/>
      <sheetName val="단烆ᓄ"/>
      <sheetName val="단胆ꏅ"/>
      <sheetName val="단Ⓟ"/>
      <sheetName val="단郆摒"/>
      <sheetName val="단諭"/>
      <sheetName val="단¯ᎏ"/>
      <sheetName val="단悯Ꮎ"/>
      <sheetName val="단Ꝁ"/>
      <sheetName val="단ᩗ"/>
      <sheetName val="단쀀쯜"/>
      <sheetName val="면적표"/>
      <sheetName val="설계서"/>
      <sheetName val="내역_ver?쾀ᰀ"/>
      <sheetName val="마감표"/>
      <sheetName val="건축_x0000__x0000__x0005_"/>
      <sheetName val="재료표"/>
      <sheetName val="유ﶻ¸_x0000_"/>
      <sheetName val="학력사頀"/>
      <sheetName val="토공개요"/>
      <sheetName val="토공(1)"/>
      <sheetName val="6공구(당초)"/>
      <sheetName val="M2CAR"/>
      <sheetName val="90톤전기"/>
      <sheetName val="영창악기"/>
      <sheetName val="공장대비"/>
      <sheetName val="공장대비2"/>
      <sheetName val="계약내력"/>
      <sheetName val="우각부보강"/>
      <sheetName val="단ၒ_x0000_"/>
      <sheetName val="BS"/>
      <sheetName val="자재 단가 비교표(견적)"/>
      <sheetName val="자재 단가 비교표"/>
      <sheetName val="리드14"/>
      <sheetName val="총_x0010_"/>
      <sheetName val="총׃"/>
      <sheetName val="제안서"/>
      <sheetName val="행정표준(1)"/>
      <sheetName val="행정표준(2)"/>
      <sheetName val="일위대가표_(2)6"/>
      <sheetName val="공종별_집계표6"/>
      <sheetName val="도급내역서_표지6"/>
      <sheetName val="RING_WALL6"/>
      <sheetName val="설명서_6"/>
      <sheetName val="Sheet1_(2)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내역서1999_8최종6"/>
      <sheetName val="단가일람_(2)6"/>
      <sheetName val="별표_6"/>
      <sheetName val="실행기고및_투입현황(총괄)6"/>
      <sheetName val="원가계산서_6"/>
      <sheetName val="총_원가계산6"/>
      <sheetName val="내역서_제출5"/>
      <sheetName val="unit_46"/>
      <sheetName val="일위대가_6"/>
      <sheetName val="2_토목공사6"/>
      <sheetName val="Customer_Databas5"/>
      <sheetName val="실행,원가_최종예상5"/>
      <sheetName val="101동_5"/>
      <sheetName val="주공_갑지5"/>
      <sheetName val="중기_부표5"/>
      <sheetName val="AS포장복구_5"/>
      <sheetName val="s_v5"/>
      <sheetName val="토공(우물통,기타)_5"/>
      <sheetName val="1_설계조건5"/>
      <sheetName val="BSD_(2)4"/>
      <sheetName val="단가대비표_(2)5"/>
      <sheetName val="복지관_풍화암-평면5"/>
      <sheetName val="건축공사_집계표5"/>
      <sheetName val="1차_내역서5"/>
      <sheetName val="변압기_및_발전기_용량5"/>
      <sheetName val="8_수량산출_(2)4"/>
      <sheetName val="단가대비표_(3)5"/>
      <sheetName val="b_babun_(2)5"/>
      <sheetName val="2_대외공문5"/>
      <sheetName val="갑__지4"/>
      <sheetName val="4_전기5"/>
      <sheetName val="표__지4"/>
      <sheetName val="빌딩_안내4"/>
      <sheetName val="단양_00_아파트-세부내역4"/>
      <sheetName val="총_괄_표4"/>
      <sheetName val="표지_(2)4"/>
      <sheetName val="준검_내역서4"/>
      <sheetName val="기존단가_(2)4"/>
      <sheetName val="Xunit_(단위환산)4"/>
      <sheetName val="할증_4"/>
      <sheetName val="수목데이타_4"/>
      <sheetName val="노임단가_(2)4"/>
      <sheetName val="7_산출집계4"/>
      <sheetName val="4_일위산출4"/>
      <sheetName val="9_자재단가4"/>
      <sheetName val="자__재4"/>
      <sheetName val="플랜트_설치4"/>
      <sheetName val="단가_4"/>
      <sheetName val="내역_ver1_04"/>
      <sheetName val="단가산출서_(2)4"/>
      <sheetName val="입출재고현황_(2)4"/>
      <sheetName val="3_단가산출서4"/>
      <sheetName val="주빔의_설계4"/>
      <sheetName val="2_재료비4"/>
      <sheetName val="1_인건비4"/>
      <sheetName val="12_보오링4"/>
      <sheetName val="18_공내수압탄성자연4"/>
      <sheetName val="공사비_증감_내역서4"/>
      <sheetName val="세골재__T2_변경_현황4"/>
      <sheetName val="횡_연장4"/>
      <sheetName val="1_4"/>
      <sheetName val="5_수량집계4"/>
      <sheetName val="3_일위대가표4"/>
      <sheetName val="8_자재단가비교표4"/>
      <sheetName val="3BL공동구_수량4"/>
      <sheetName val="배수관접합및부설__4"/>
      <sheetName val="총괄표_4"/>
      <sheetName val="기타_정보통신공사3"/>
      <sheetName val="전선_및_전선관4"/>
      <sheetName val="실행내역(10_13)4"/>
      <sheetName val="1_개요입력4"/>
      <sheetName val="현장관리비_산출내역4"/>
      <sheetName val="단가_및_재료비4"/>
      <sheetName val="TRE_TABLE4"/>
      <sheetName val="8_PILE__(돌출)3"/>
      <sheetName val="3_내역서4"/>
      <sheetName val="HRSG_SMALL072203"/>
      <sheetName val="실행내역_4"/>
      <sheetName val="6PILE__(돌출)4"/>
      <sheetName val="중기조종사_단위단가4"/>
      <sheetName val="노무비_근거4"/>
      <sheetName val="배관배선_단가조사3"/>
      <sheetName val="3_단᠚░　胉4"/>
      <sheetName val="3_단ᠢ╋賳4"/>
      <sheetName val="3_단렖⪇퀀顴4"/>
      <sheetName val="인건비_3"/>
      <sheetName val="사진_(4)3"/>
      <sheetName val="2000년_공정표3"/>
      <sheetName val="집계표_3"/>
      <sheetName val="3_단蠀ᵷ찀ᵷ3"/>
      <sheetName val="3_단⠀⑶氀⑶3"/>
      <sheetName val="참조_(2)3"/>
      <sheetName val="5_일위목록3"/>
      <sheetName val="7_단가조사3"/>
      <sheetName val="6_일위대가3"/>
      <sheetName val="spc_배관견적3"/>
      <sheetName val="C1_공사개요3"/>
      <sheetName val="A1_스케쥴3"/>
      <sheetName val="22_경비내역3"/>
      <sheetName val="21_경비기본입력3"/>
      <sheetName val="3_공기산정3"/>
      <sheetName val="34_주택성능등급3"/>
      <sheetName val="1_취수장3"/>
      <sheetName val="상_부3"/>
      <sheetName val="8_석축단위(H=1_5M)3"/>
      <sheetName val="D_B3"/>
      <sheetName val="1_자원총괄3"/>
      <sheetName val="PROJECT_BRIEF3"/>
      <sheetName val="#2_노임단가3"/>
      <sheetName val="A_견적3"/>
      <sheetName val="CABLE_SIZE-13"/>
      <sheetName val="3_단ꠀ᥶᥶3"/>
      <sheetName val="공사별_가중치_산출근거(토목)3"/>
      <sheetName val="[내역(~2_XLS][내역(~2_XLS]ABUT수֩杭倯3"/>
      <sheetName val="[내역(~2_XLS]ABUT수֩杭倯/3"/>
      <sheetName val="환경기계공정표_(3)3"/>
      <sheetName val="[내역(~2_XLS]3_단爁녈/3"/>
      <sheetName val="[내역(~2_XLS][내역(~2_XLS]3_단爁녈/3"/>
      <sheetName val="단가_1_"/>
      <sheetName val="직접頀奸?"/>
      <sheetName val="직접0_x0000_耀"/>
      <sheetName val="수처리조적산근"/>
      <sheetName val="물가대비표"/>
      <sheetName val="새공통(96임금인상기준)"/>
      <sheetName val="ABUT수량-°_x0000_"/>
      <sheetName val="tggwan(m瑠Ü⩿"/>
      <sheetName val="1.설계기준"/>
      <sheetName val="[내역(~2.XLS][내역(~2.XLS]_____2__5"/>
      <sheetName val="[내역(~2.XLS][내역(~2.XLS]_____2__6"/>
      <sheetName val="[내역(~2.XLS][내역(~2.XLS]_____2__7"/>
      <sheetName val="8월감리조서갑지 (2)"/>
      <sheetName val="부하계산서"/>
      <sheetName val="증감대비표"/>
      <sheetName val="총_x0000_"/>
      <sheetName val="암거치수표"/>
      <sheetName val="재료집계표빽업"/>
      <sheetName val="암거수리계산서"/>
      <sheetName val="◀암거수리계산조서"/>
      <sheetName val="최종단면▶"/>
      <sheetName val="재료집계표"/>
      <sheetName val="골䀎_x0003_밀"/>
      <sheetName val="골ꠀ供"/>
      <sheetName val="골䀚_x0003_밀"/>
      <sheetName val="골︀ꏕԯ"/>
      <sheetName val="골?鎁ᰀ"/>
      <sheetName val="골ԯ_x0000_缀"/>
      <sheetName val="성곽내역서"/>
      <sheetName val="견峔㄄_x0012_"/>
      <sheetName val="견峔ᔄ_x0013_"/>
      <sheetName val="견峔밄_x0018_"/>
      <sheetName val="장부(05상)"/>
      <sheetName val="기초입력 DATA"/>
      <sheetName val="단가旀"/>
      <sheetName val="내역_verז"/>
      <sheetName val="미디어고등학교"/>
      <sheetName val="1차설계변경내역"/>
      <sheetName val="라산부인과"/>
      <sheetName val="부여APT"/>
      <sheetName val="정화조동내역"/>
      <sheetName val="가시설(TYPE-A)"/>
      <sheetName val="1호맨홀가감수량"/>
      <sheetName val="1-1평균터파기고(1)"/>
      <sheetName val="1호맨홀수량산출"/>
      <sheetName val="일대-1"/>
      <sheetName val="공사비 내역 (가)"/>
      <sheetName val="노무"/>
      <sheetName val="실행예산서"/>
      <sheetName val="재정비직인"/>
      <sheetName val="재정비내역"/>
      <sheetName val="지적고시내역"/>
      <sheetName val="단 box"/>
      <sheetName val="표준차도부연장집계-ASP"/>
      <sheetName val="보도포장연장조서-표준차도부"/>
      <sheetName val="표준차도부연장조서-ASP"/>
      <sheetName val="이름표지정"/>
      <sheetName val="unitpric"/>
      <sheetName val="지하"/>
      <sheetName val="관리비비계상"/>
      <sheetName val="일위대가표_(2)7"/>
      <sheetName val="공종별_집계표7"/>
      <sheetName val="도급내역서_표지7"/>
      <sheetName val="RING_WALL7"/>
      <sheetName val="설명서_7"/>
      <sheetName val="Sheet1_(2)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내역서1999_8최종7"/>
      <sheetName val="단가일람_(2)7"/>
      <sheetName val="별표_7"/>
      <sheetName val="실행기고및_투입현황(총괄)7"/>
      <sheetName val="원가계산서_7"/>
      <sheetName val="총_원가계산7"/>
      <sheetName val="내역서_제출6"/>
      <sheetName val="unit_47"/>
      <sheetName val="일위대가_7"/>
      <sheetName val="2_토목공사7"/>
      <sheetName val="Customer_Databas6"/>
      <sheetName val="실행,원가_최종예상6"/>
      <sheetName val="101동_6"/>
      <sheetName val="주공_갑지6"/>
      <sheetName val="중기_부표6"/>
      <sheetName val="AS포장복구_6"/>
      <sheetName val="s_v6"/>
      <sheetName val="토공(우물통,기타)_6"/>
      <sheetName val="1_설계조건6"/>
      <sheetName val="BSD_(2)5"/>
      <sheetName val="단가대비표_(2)6"/>
      <sheetName val="복지관_풍화암-평면6"/>
      <sheetName val="건축공사_집계표6"/>
      <sheetName val="1차_내역서6"/>
      <sheetName val="변압기_및_발전기_용량6"/>
      <sheetName val="8_수량산출_(2)5"/>
      <sheetName val="단가대비표_(3)6"/>
      <sheetName val="b_babun_(2)6"/>
      <sheetName val="2_대외공문6"/>
      <sheetName val="갑__지5"/>
      <sheetName val="4_전기6"/>
      <sheetName val="표__지5"/>
      <sheetName val="빌딩_안내5"/>
      <sheetName val="단양_00_아파트-세부내역5"/>
      <sheetName val="총_괄_표5"/>
      <sheetName val="표지_(2)5"/>
      <sheetName val="준검_내역서5"/>
      <sheetName val="기존단가_(2)5"/>
      <sheetName val="Xunit_(단위환산)5"/>
      <sheetName val="할증_5"/>
      <sheetName val="수목데이타_5"/>
      <sheetName val="노임단가_(2)5"/>
      <sheetName val="7_산출집계5"/>
      <sheetName val="4_일위산출5"/>
      <sheetName val="9_자재단가5"/>
      <sheetName val="자__재5"/>
      <sheetName val="내역_ver1_05"/>
      <sheetName val="단가_5"/>
      <sheetName val="공사비_증감_내역서5"/>
      <sheetName val="플랜트_설치5"/>
      <sheetName val="단가산출서_(2)5"/>
      <sheetName val="3_단가산출서5"/>
      <sheetName val="입출재고현황_(2)5"/>
      <sheetName val="세골재__T2_변경_현황5"/>
      <sheetName val="주빔의_설계5"/>
      <sheetName val="5_수량집계5"/>
      <sheetName val="3_일위대가표5"/>
      <sheetName val="8_자재단가비교표5"/>
      <sheetName val="노무비_근거5"/>
      <sheetName val="3_내역서5"/>
      <sheetName val="현장관리비_산출내역5"/>
      <sheetName val="실행내역(10_13)5"/>
      <sheetName val="1_개요입력5"/>
      <sheetName val="총괄표_5"/>
      <sheetName val="배수관접합및부설__5"/>
      <sheetName val="단가_및_재료비5"/>
      <sheetName val="TRE_TABLE5"/>
      <sheetName val="8_PILE__(돌출)4"/>
      <sheetName val="전선_및_전선관5"/>
      <sheetName val="배관배선_단가조사4"/>
      <sheetName val="3_단᠚░　胉5"/>
      <sheetName val="3_단ᠢ╋賳5"/>
      <sheetName val="6PILE__(돌출)5"/>
      <sheetName val="3_단렖⪇퀀顴5"/>
      <sheetName val="인건비_4"/>
      <sheetName val="1_5"/>
      <sheetName val="3BL공동구_수량5"/>
      <sheetName val="2_재료비5"/>
      <sheetName val="1_인건비5"/>
      <sheetName val="12_보오링5"/>
      <sheetName val="18_공내수압탄성자연5"/>
      <sheetName val="HRSG_SMALL072204"/>
      <sheetName val="실행내역_5"/>
      <sheetName val="횡_연장5"/>
      <sheetName val="중기조종사_단위단가5"/>
      <sheetName val="사진_(4)4"/>
      <sheetName val="2000년_공정표4"/>
      <sheetName val="집계표_4"/>
      <sheetName val="3_단蠀ᵷ찀ᵷ4"/>
      <sheetName val="3_단⠀⑶氀⑶4"/>
      <sheetName val="기타_정보통신공사4"/>
      <sheetName val="참조_(2)4"/>
      <sheetName val="5_일위목록4"/>
      <sheetName val="7_단가조사4"/>
      <sheetName val="6_일위대가4"/>
      <sheetName val="spc_배관견적4"/>
      <sheetName val="C1_공사개요4"/>
      <sheetName val="A1_스케쥴4"/>
      <sheetName val="22_경비내역4"/>
      <sheetName val="21_경비기본입력4"/>
      <sheetName val="3_공기산정4"/>
      <sheetName val="34_주택성능등급4"/>
      <sheetName val="1_취수장4"/>
      <sheetName val="상_부4"/>
      <sheetName val="8_석축단위(H=1_5M)4"/>
      <sheetName val="D_B4"/>
      <sheetName val="1_자원총괄4"/>
      <sheetName val="PROJECT_BRIEF4"/>
      <sheetName val="#2_노임단가4"/>
      <sheetName val="A_견적4"/>
      <sheetName val="CABLE_SIZE-14"/>
      <sheetName val="3_단ꠀ᥶᥶4"/>
      <sheetName val="공사별_가중치_산출근거(토목)4"/>
      <sheetName val="[내역(~2_XLS][내역(~2_XLS]ABUT수֩杭倯4"/>
      <sheetName val="[내역(~2_XLS]ABUT수֩杭倯/4"/>
      <sheetName val="환경기계공정표_(3)4"/>
      <sheetName val="[내역(~2_XLS]3_단爁녈/4"/>
      <sheetName val="[내역(~2_XLS][내역(~2_XLS]3_단爁녈/4"/>
      <sheetName val="플랜_x0000__x0000__x0000__x0000_"/>
      <sheetName val="tggwan(m⩿⽛_x0005_"/>
      <sheetName val="원도급내역 1회기성(4,5,6,7)"/>
      <sheetName val="단가산출2"/>
      <sheetName val="직원자ڭ"/>
      <sheetName val="본댐설계"/>
      <sheetName val="DW산출"/>
      <sheetName val="단위중량표"/>
      <sheetName val="적용단가표"/>
      <sheetName val="48_x0005__x0000_"/>
      <sheetName val="자재단가 산출근거"/>
      <sheetName val="회사정보"/>
      <sheetName val="총집계표"/>
      <sheetName val="추가예산"/>
      <sheetName val="노임단가(2000하반기)"/>
      <sheetName val="직원자"/>
      <sheetName val="과거면_x0005_"/>
      <sheetName val="내역_verÖ"/>
      <sheetName val="공기압 "/>
      <sheetName val="5. 현장관리비(new) "/>
      <sheetName val="단ꂯ?"/>
      <sheetName val="내역_ver͊_x0000_ꀀ"/>
      <sheetName val="내역_ver챊遏堂"/>
      <sheetName val="내역_verﱊ졎堀"/>
      <sheetName val="예정공정표"/>
      <sheetName val="표지1"/>
      <sheetName val="1공구(입찰내역)"/>
      <sheetName val="직원자_x001b__x0000_Ԁ"/>
      <sheetName val="직원자o"/>
      <sheetName val="배수공수집"/>
      <sheetName val="공정증감대ㅈ표"/>
      <sheetName val="부산제일극장"/>
      <sheetName val="맨홀토공(3)"/>
      <sheetName val="10_x0005__x0000_À"/>
      <sheetName val="파이프류"/>
      <sheetName val="접지수량"/>
      <sheetName val="직원현황"/>
      <sheetName val="토공유동표"/>
      <sheetName val="작업입력"/>
      <sheetName val="수_x0000_"/>
      <sheetName val="변경내역 (2)"/>
      <sheetName val="매입톱"/>
      <sheetName val="ABUT수?ὑ 뉖"/>
      <sheetName val="정거장 설계조건"/>
      <sheetName val="횡배위치"/>
      <sheetName val="인부임"/>
      <sheetName val="강교(Sub)"/>
      <sheetName val="건가"/>
      <sheetName val="공통비(전체)"/>
      <sheetName val="Menu"/>
      <sheetName val="YesNoImpact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shn"/>
      <sheetName val="용역비산정2001"/>
      <sheetName val="INPUT(덕도방향-시점)"/>
      <sheetName val="별표"/>
      <sheetName val="Macro(전선)"/>
      <sheetName val="각종양식"/>
      <sheetName val="단면가정"/>
      <sheetName val="중기사용료"/>
      <sheetName val="적용노임"/>
      <sheetName val="일반자재"/>
      <sheetName val="B부대공"/>
      <sheetName val="일위대가시트"/>
      <sheetName val="철콘공사"/>
      <sheetName val="B"/>
      <sheetName val="내역_ver졊ﺨ!"/>
      <sheetName val="b_balju_㣹ꗸࠎ"/>
      <sheetName val="횡_x0000__x0000_Ā"/>
      <sheetName val="98태백"/>
      <sheetName val="구간재료"/>
      <sheetName val="중기경비목록"/>
      <sheetName val="대비내역(총괄)"/>
      <sheetName val="현금흐름(입도선매)"/>
      <sheetName val="노무비등록"/>
      <sheetName val="소계정"/>
      <sheetName val="단 부"/>
      <sheetName val="내_x0005__x0000_"/>
      <sheetName val="내ၒ_x0000__x0000_"/>
      <sheetName val="ABUT수밁Ｕ瀀眑"/>
      <sheetName val="을지총괄"/>
      <sheetName val="공구원가계산"/>
      <sheetName val="유류대관리"/>
      <sheetName val="원가&amp;하도급원가"/>
      <sheetName val="케이불1"/>
      <sheetName val="보고"/>
      <sheetName val="공통자료"/>
      <sheetName val="사통"/>
      <sheetName val="효율계획(당월)"/>
      <sheetName val="전체실적"/>
      <sheetName val="역T형교‒ᣑḃਹ頁"/>
      <sheetName val="임대손익"/>
      <sheetName val="토적계산서"/>
      <sheetName val="단Յ_x0000_"/>
      <sheetName val="&lt;양식23_C言鍹"/>
      <sheetName val="95년12월말"/>
      <sheetName val="Sheet20"/>
      <sheetName val="사업성분석"/>
      <sheetName val="직접0"/>
      <sheetName val="부대tu"/>
      <sheetName val="목록표"/>
      <sheetName val="국내조달(통합-1)"/>
      <sheetName val="골조가漿"/>
      <sheetName val="골조䠁?"/>
      <sheetName val="내역_verᲳ퓵㠀"/>
      <sheetName val="4.  단락전류의 계산"/>
      <sheetName val="역T형교대(직접기초)"/>
      <sheetName val="0000"/>
      <sheetName val="비열"/>
      <sheetName val="MSS 2"/>
      <sheetName val="재료할증"/>
      <sheetName val="산출서"/>
      <sheetName val="설비2차"/>
      <sheetName val="010101"/>
      <sheetName val="______DATA____________________3"/>
      <sheetName val="3.하중산정4.지지력"/>
      <sheetName val="직원자裀᛿㤂"/>
      <sheetName val="참조"/>
      <sheetName val="주민복지관"/>
      <sheetName val="장비"/>
      <sheetName val="횡䃏 "/>
      <sheetName val="투찰추정"/>
      <sheetName val="입력데이타(비인쇄용)"/>
      <sheetName val="Eq. Mobilization"/>
      <sheetName val="계약서"/>
      <sheetName val="차압계산"/>
      <sheetName val="서산일위대가수정분010603"/>
      <sheetName val="단가민락2"/>
      <sheetName val="면적보정계수"/>
      <sheetName val="비교1"/>
      <sheetName val="분전반"/>
      <sheetName val="2010공임"/>
      <sheetName val="기중"/>
      <sheetName val="표준가격표(071121)"/>
      <sheetName val="98지급계획"/>
      <sheetName val="정부노임"/>
      <sheetName val="방화산출"/>
      <sheetName val="FM"/>
      <sheetName val="캔개발배경"/>
      <sheetName val="캔판매목표"/>
      <sheetName val="시장"/>
      <sheetName val="일정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6">
          <cell r="I46" t="str">
            <v>내용</v>
          </cell>
        </row>
      </sheetData>
      <sheetData sheetId="13">
        <row r="46">
          <cell r="I46" t="str">
            <v>내용</v>
          </cell>
        </row>
      </sheetData>
      <sheetData sheetId="14"/>
      <sheetData sheetId="15"/>
      <sheetData sheetId="16"/>
      <sheetData sheetId="17">
        <row r="46">
          <cell r="I46" t="str">
            <v>내용</v>
          </cell>
        </row>
      </sheetData>
      <sheetData sheetId="18">
        <row r="46">
          <cell r="I46" t="str">
            <v>내용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>
        <row r="46">
          <cell r="I46" t="str">
            <v>내용</v>
          </cell>
        </row>
      </sheetData>
      <sheetData sheetId="1459">
        <row r="46">
          <cell r="I46" t="str">
            <v>내용</v>
          </cell>
        </row>
      </sheetData>
      <sheetData sheetId="1460">
        <row r="46">
          <cell r="I46" t="str">
            <v>내용</v>
          </cell>
        </row>
      </sheetData>
      <sheetData sheetId="1461">
        <row r="46">
          <cell r="I46" t="str">
            <v>내용</v>
          </cell>
        </row>
      </sheetData>
      <sheetData sheetId="1462">
        <row r="46">
          <cell r="I46" t="str">
            <v>내용</v>
          </cell>
        </row>
      </sheetData>
      <sheetData sheetId="1463">
        <row r="46">
          <cell r="I46" t="str">
            <v>내용</v>
          </cell>
        </row>
      </sheetData>
      <sheetData sheetId="1464">
        <row r="46">
          <cell r="I46" t="str">
            <v>내용</v>
          </cell>
        </row>
      </sheetData>
      <sheetData sheetId="1465">
        <row r="46">
          <cell r="I46" t="str">
            <v>내용</v>
          </cell>
        </row>
      </sheetData>
      <sheetData sheetId="1466">
        <row r="46">
          <cell r="I46" t="str">
            <v>내용</v>
          </cell>
        </row>
      </sheetData>
      <sheetData sheetId="1467">
        <row r="46">
          <cell r="I46" t="str">
            <v>내용</v>
          </cell>
        </row>
      </sheetData>
      <sheetData sheetId="1468">
        <row r="46">
          <cell r="I46" t="str">
            <v>내용</v>
          </cell>
        </row>
      </sheetData>
      <sheetData sheetId="1469">
        <row r="46">
          <cell r="I46" t="str">
            <v>내용</v>
          </cell>
        </row>
      </sheetData>
      <sheetData sheetId="1470">
        <row r="46">
          <cell r="I46" t="str">
            <v>내용</v>
          </cell>
        </row>
      </sheetData>
      <sheetData sheetId="1471">
        <row r="46">
          <cell r="I46" t="str">
            <v>내용</v>
          </cell>
        </row>
      </sheetData>
      <sheetData sheetId="1472">
        <row r="46">
          <cell r="I46" t="str">
            <v>내용</v>
          </cell>
        </row>
      </sheetData>
      <sheetData sheetId="1473">
        <row r="46">
          <cell r="I46" t="str">
            <v>내용</v>
          </cell>
        </row>
      </sheetData>
      <sheetData sheetId="1474">
        <row r="46">
          <cell r="I46" t="str">
            <v>내용</v>
          </cell>
        </row>
      </sheetData>
      <sheetData sheetId="1475">
        <row r="46">
          <cell r="I46" t="str">
            <v>내용</v>
          </cell>
        </row>
      </sheetData>
      <sheetData sheetId="1476"/>
      <sheetData sheetId="1477"/>
      <sheetData sheetId="1478"/>
      <sheetData sheetId="1479">
        <row r="46">
          <cell r="I46" t="str">
            <v>내용</v>
          </cell>
        </row>
      </sheetData>
      <sheetData sheetId="1480">
        <row r="46">
          <cell r="I46" t="str">
            <v>내용</v>
          </cell>
        </row>
      </sheetData>
      <sheetData sheetId="1481">
        <row r="46">
          <cell r="I46" t="str">
            <v>내용</v>
          </cell>
        </row>
      </sheetData>
      <sheetData sheetId="1482">
        <row r="46">
          <cell r="I46" t="str">
            <v>내용</v>
          </cell>
        </row>
      </sheetData>
      <sheetData sheetId="1483">
        <row r="46">
          <cell r="I46" t="str">
            <v>내용</v>
          </cell>
        </row>
      </sheetData>
      <sheetData sheetId="1484">
        <row r="46">
          <cell r="I46" t="str">
            <v>내용</v>
          </cell>
        </row>
      </sheetData>
      <sheetData sheetId="1485">
        <row r="46">
          <cell r="I46" t="str">
            <v>내용</v>
          </cell>
        </row>
      </sheetData>
      <sheetData sheetId="1486">
        <row r="46">
          <cell r="I46" t="str">
            <v>내용</v>
          </cell>
        </row>
      </sheetData>
      <sheetData sheetId="1487">
        <row r="46">
          <cell r="I46" t="str">
            <v>내용</v>
          </cell>
        </row>
      </sheetData>
      <sheetData sheetId="1488">
        <row r="46">
          <cell r="I46" t="str">
            <v>내용</v>
          </cell>
        </row>
      </sheetData>
      <sheetData sheetId="1489">
        <row r="46">
          <cell r="I46" t="str">
            <v>내용</v>
          </cell>
        </row>
      </sheetData>
      <sheetData sheetId="1490">
        <row r="46">
          <cell r="I46" t="str">
            <v>내용</v>
          </cell>
        </row>
      </sheetData>
      <sheetData sheetId="1491">
        <row r="46">
          <cell r="I46" t="str">
            <v>내용</v>
          </cell>
        </row>
      </sheetData>
      <sheetData sheetId="1492">
        <row r="46">
          <cell r="I46" t="str">
            <v>내용</v>
          </cell>
        </row>
      </sheetData>
      <sheetData sheetId="1493">
        <row r="46">
          <cell r="I46" t="str">
            <v>내용</v>
          </cell>
        </row>
      </sheetData>
      <sheetData sheetId="1494">
        <row r="46">
          <cell r="I46" t="str">
            <v>내용</v>
          </cell>
        </row>
      </sheetData>
      <sheetData sheetId="1495">
        <row r="46">
          <cell r="I46" t="str">
            <v>내용</v>
          </cell>
        </row>
      </sheetData>
      <sheetData sheetId="1496">
        <row r="46">
          <cell r="I46" t="str">
            <v>내용</v>
          </cell>
        </row>
      </sheetData>
      <sheetData sheetId="1497"/>
      <sheetData sheetId="1498">
        <row r="46">
          <cell r="I46" t="str">
            <v>내용</v>
          </cell>
        </row>
      </sheetData>
      <sheetData sheetId="1499"/>
      <sheetData sheetId="1500">
        <row r="46">
          <cell r="I46" t="str">
            <v>내용</v>
          </cell>
        </row>
      </sheetData>
      <sheetData sheetId="1501">
        <row r="46">
          <cell r="I46" t="str">
            <v>내용</v>
          </cell>
        </row>
      </sheetData>
      <sheetData sheetId="1502">
        <row r="46">
          <cell r="I46" t="str">
            <v>내용</v>
          </cell>
        </row>
      </sheetData>
      <sheetData sheetId="1503"/>
      <sheetData sheetId="1504">
        <row r="46">
          <cell r="I46" t="str">
            <v>내용</v>
          </cell>
        </row>
      </sheetData>
      <sheetData sheetId="1505"/>
      <sheetData sheetId="1506">
        <row r="46">
          <cell r="I46" t="str">
            <v>내용</v>
          </cell>
        </row>
      </sheetData>
      <sheetData sheetId="1507"/>
      <sheetData sheetId="1508"/>
      <sheetData sheetId="1509"/>
      <sheetData sheetId="1510"/>
      <sheetData sheetId="1511">
        <row r="46">
          <cell r="I46" t="str">
            <v>내용</v>
          </cell>
        </row>
      </sheetData>
      <sheetData sheetId="1512"/>
      <sheetData sheetId="1513"/>
      <sheetData sheetId="1514">
        <row r="46">
          <cell r="I46" t="str">
            <v>내용</v>
          </cell>
        </row>
      </sheetData>
      <sheetData sheetId="1515"/>
      <sheetData sheetId="1516">
        <row r="46">
          <cell r="I46" t="str">
            <v>내용</v>
          </cell>
        </row>
      </sheetData>
      <sheetData sheetId="1517"/>
      <sheetData sheetId="1518"/>
      <sheetData sheetId="1519"/>
      <sheetData sheetId="1520">
        <row r="46">
          <cell r="I46" t="str">
            <v>내용</v>
          </cell>
        </row>
      </sheetData>
      <sheetData sheetId="1521">
        <row r="46">
          <cell r="I46" t="str">
            <v>내용</v>
          </cell>
        </row>
      </sheetData>
      <sheetData sheetId="1522">
        <row r="46">
          <cell r="I46" t="str">
            <v>내용</v>
          </cell>
        </row>
      </sheetData>
      <sheetData sheetId="1523">
        <row r="46">
          <cell r="I46" t="str">
            <v>내용</v>
          </cell>
        </row>
      </sheetData>
      <sheetData sheetId="1524">
        <row r="46">
          <cell r="I46" t="str">
            <v>내용</v>
          </cell>
        </row>
      </sheetData>
      <sheetData sheetId="1525">
        <row r="46">
          <cell r="I46" t="str">
            <v>내용</v>
          </cell>
        </row>
      </sheetData>
      <sheetData sheetId="1526"/>
      <sheetData sheetId="1527"/>
      <sheetData sheetId="1528"/>
      <sheetData sheetId="1529"/>
      <sheetData sheetId="1530"/>
      <sheetData sheetId="1531">
        <row r="46">
          <cell r="I46" t="str">
            <v>내용</v>
          </cell>
        </row>
      </sheetData>
      <sheetData sheetId="1532"/>
      <sheetData sheetId="1533">
        <row r="46">
          <cell r="I46" t="str">
            <v>내용</v>
          </cell>
        </row>
      </sheetData>
      <sheetData sheetId="1534"/>
      <sheetData sheetId="1535"/>
      <sheetData sheetId="1536"/>
      <sheetData sheetId="1537"/>
      <sheetData sheetId="1538"/>
      <sheetData sheetId="1539"/>
      <sheetData sheetId="1540"/>
      <sheetData sheetId="1541">
        <row r="46">
          <cell r="I46" t="str">
            <v>내용</v>
          </cell>
        </row>
      </sheetData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>
        <row r="46">
          <cell r="I46" t="str">
            <v>내용</v>
          </cell>
        </row>
      </sheetData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>
        <row r="46">
          <cell r="I46" t="str">
            <v>내용</v>
          </cell>
        </row>
      </sheetData>
      <sheetData sheetId="1586"/>
      <sheetData sheetId="1587">
        <row r="46">
          <cell r="I46" t="str">
            <v>내용</v>
          </cell>
        </row>
      </sheetData>
      <sheetData sheetId="1588">
        <row r="46">
          <cell r="I46" t="str">
            <v>내용</v>
          </cell>
        </row>
      </sheetData>
      <sheetData sheetId="1589">
        <row r="46">
          <cell r="I46" t="str">
            <v>내용</v>
          </cell>
        </row>
      </sheetData>
      <sheetData sheetId="1590"/>
      <sheetData sheetId="1591">
        <row r="46">
          <cell r="I46" t="str">
            <v>내용</v>
          </cell>
        </row>
      </sheetData>
      <sheetData sheetId="1592"/>
      <sheetData sheetId="1593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>
        <row r="46">
          <cell r="I46" t="str">
            <v>내용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>
        <row r="46">
          <cell r="I46" t="str">
            <v>내용</v>
          </cell>
        </row>
      </sheetData>
      <sheetData sheetId="1822"/>
      <sheetData sheetId="1823">
        <row r="46">
          <cell r="I46" t="str">
            <v>내용</v>
          </cell>
        </row>
      </sheetData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 refreshError="1"/>
      <sheetData sheetId="2016" refreshError="1"/>
      <sheetData sheetId="2017" refreshError="1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/>
      <sheetData sheetId="205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/>
      <sheetData sheetId="2069"/>
      <sheetData sheetId="2070" refreshError="1"/>
      <sheetData sheetId="2071"/>
      <sheetData sheetId="2072"/>
      <sheetData sheetId="2073"/>
      <sheetData sheetId="2074" refreshError="1"/>
      <sheetData sheetId="2075"/>
      <sheetData sheetId="2076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6호기"/>
      <sheetName val="내역서2안"/>
      <sheetName val="견적서"/>
      <sheetName val="시운전연료비"/>
      <sheetName val="1차설계변경내역"/>
      <sheetName val="품셈TABLE"/>
      <sheetName val="지질조사"/>
      <sheetName val="설계기준"/>
      <sheetName val="내역1"/>
      <sheetName val="금액내역서"/>
      <sheetName val="노임단가"/>
      <sheetName val="데이타"/>
      <sheetName val="식재인부"/>
      <sheetName val="대림경상68억"/>
      <sheetName val="역T형교대(말뚝기초)"/>
      <sheetName val="정공공사"/>
      <sheetName val="중기조종사 단위단가"/>
      <sheetName val="인제내역"/>
      <sheetName val="Total"/>
      <sheetName val="공사비산출내역"/>
      <sheetName val="장비"/>
      <sheetName val="산근1"/>
      <sheetName val="노무"/>
      <sheetName val="자재"/>
      <sheetName val="대목"/>
      <sheetName val="간접"/>
      <sheetName val="건축"/>
      <sheetName val="간접비"/>
      <sheetName val="BOM-Form A.1.III"/>
      <sheetName val="CB"/>
      <sheetName val="Sheet2"/>
      <sheetName val="결재갑지"/>
      <sheetName val="설계명세서"/>
      <sheetName val="목차"/>
      <sheetName val="준검 내역서"/>
      <sheetName val="연돌일위집계"/>
      <sheetName val="Sheet1"/>
      <sheetName val="두정2차"/>
      <sheetName val="일위대가(1)"/>
      <sheetName val="설비원가"/>
      <sheetName val="표지"/>
      <sheetName val="2공구산출내역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경비"/>
      <sheetName val="시추주상도"/>
      <sheetName val="경비내역(을)-1"/>
      <sheetName val="통장출금액"/>
      <sheetName val="누계12"/>
      <sheetName val="예산명세서"/>
      <sheetName val="자료입력"/>
      <sheetName val="#REF"/>
      <sheetName val="인건비 "/>
      <sheetName val="변압기 및 발전기 용량"/>
      <sheetName val="일위대가표"/>
      <sheetName val="실행,원가 최종예상"/>
      <sheetName val="단가기준"/>
      <sheetName val="기본계획"/>
      <sheetName val="간지(전기공사)"/>
      <sheetName val="자재단가"/>
      <sheetName val="국내"/>
      <sheetName val="입찰안"/>
      <sheetName val="마감LIST-1"/>
      <sheetName val="D"/>
      <sheetName val="DATA"/>
      <sheetName val="단가"/>
      <sheetName val="경비2내역"/>
      <sheetName val="설치공사비"/>
      <sheetName val="99노임기준"/>
      <sheetName val="단가대비표"/>
      <sheetName val="일위대가"/>
      <sheetName val="일위대가목차"/>
      <sheetName val="내역"/>
      <sheetName val="시운전연료"/>
      <sheetName val="Sheet4"/>
      <sheetName val="아파트"/>
      <sheetName val="보할공정"/>
      <sheetName val="남대문빌딩"/>
      <sheetName val="첨부1"/>
      <sheetName val="소비자가"/>
      <sheetName val="QandAJunior"/>
      <sheetName val="단가표"/>
      <sheetName val="수목표준대가"/>
      <sheetName val="기초작업"/>
      <sheetName val="일용노임단가"/>
      <sheetName val="JUCKEYK"/>
      <sheetName val="104동"/>
      <sheetName val="Baby일위대가"/>
      <sheetName val="일위대가목록"/>
      <sheetName val="도급FORM"/>
      <sheetName val="9GNG운반"/>
      <sheetName val="단"/>
      <sheetName val="DAN"/>
      <sheetName val="백호우계수"/>
      <sheetName val="01"/>
      <sheetName val="70%"/>
      <sheetName val="제잡비"/>
      <sheetName val="갑지"/>
      <sheetName val="내역서"/>
      <sheetName val="단가비교표"/>
      <sheetName val="종현황"/>
      <sheetName val="현장"/>
      <sheetName val="BID"/>
      <sheetName val="공통가설"/>
      <sheetName val="관리자"/>
      <sheetName val="투찰내역서"/>
      <sheetName val="토목공사일반"/>
      <sheetName val="직원인원"/>
      <sheetName val="돌담교 상부수량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5"/>
      <sheetName val="청산공사"/>
      <sheetName val="예상"/>
      <sheetName val="주관사업"/>
      <sheetName val="개산공사비"/>
      <sheetName val="별표 "/>
      <sheetName val="단면 (2)"/>
      <sheetName val="U-TYPE(1)"/>
      <sheetName val="대비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안전장치"/>
      <sheetName val="일위대가(계측기설치)"/>
      <sheetName val="공통비총괄표"/>
      <sheetName val="교대(A1-A2)"/>
      <sheetName val="물량내역서"/>
      <sheetName val="8.석축단위(H=1.5M)"/>
      <sheetName val="가설공사비"/>
      <sheetName val="도로구조공사비"/>
      <sheetName val="도로토공공사비"/>
      <sheetName val="여수토공사비"/>
      <sheetName val="가시설단위수량"/>
      <sheetName val="SORCE1"/>
      <sheetName val="단위수량"/>
      <sheetName val="월별전망"/>
      <sheetName val="관급자재대"/>
      <sheetName val="와동25-3(변경)"/>
      <sheetName val="AS포장복구 "/>
      <sheetName val="인원투입(개산견적)"/>
      <sheetName val="조직도"/>
      <sheetName val="해평견적"/>
      <sheetName val="H-PILE수량집계"/>
      <sheetName val="비품"/>
      <sheetName val="건축내역"/>
      <sheetName val="요율"/>
      <sheetName val="자재대"/>
      <sheetName val="말뚝물량"/>
      <sheetName val="예총"/>
      <sheetName val="증감내역서"/>
      <sheetName val="효명0010"/>
      <sheetName val="C1.공사개요"/>
      <sheetName val="품셈표"/>
      <sheetName val="1.개요입력"/>
      <sheetName val="22.경비내역"/>
      <sheetName val="21.경비기본입력"/>
      <sheetName val="3.공기산정"/>
      <sheetName val="34.주택성능등급"/>
      <sheetName val="산출금액내역"/>
      <sheetName val="연동내역"/>
      <sheetName val="실행(1)"/>
      <sheetName val="A1.스케쥴"/>
      <sheetName val="도급"/>
      <sheetName val="유동표"/>
      <sheetName val="품셈집계"/>
      <sheetName val="2.대외공문"/>
      <sheetName val="수량산출"/>
      <sheetName val="수지표"/>
      <sheetName val="셀명"/>
      <sheetName val="점수계산1-2"/>
      <sheetName val="6PILE  (돌출)"/>
      <sheetName val="삭제금지단가"/>
      <sheetName val="IW-LIST"/>
      <sheetName val="경영상태"/>
      <sheetName val="정부노임단가"/>
      <sheetName val="A2"/>
      <sheetName val="노무비단가"/>
      <sheetName val="기본1"/>
      <sheetName val="수정일위대가"/>
      <sheetName val="수금 "/>
      <sheetName val="수주현황"/>
      <sheetName val="난방방식분류"/>
      <sheetName val="공사정보입력"/>
      <sheetName val="집수정(600-700)"/>
      <sheetName val="2000노임기준"/>
      <sheetName val="식재일위대가"/>
      <sheetName val="mcc일위대가"/>
      <sheetName val="수량금액증감"/>
      <sheetName val="신천3호용수로"/>
      <sheetName val="1구간내역서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산출내역서집계표"/>
      <sheetName val="집계표(수배전제조구매)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문학간접"/>
      <sheetName val="하조서"/>
      <sheetName val="토공사"/>
      <sheetName val="200"/>
      <sheetName val="손익분석"/>
      <sheetName val="집계표"/>
      <sheetName val="노임이"/>
      <sheetName val="본실행경비"/>
      <sheetName val="FB25JN"/>
      <sheetName val="터파기및재료"/>
      <sheetName val="추가예산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총괄"/>
      <sheetName val="예산내역"/>
      <sheetName val="총괄수지표"/>
      <sheetName val="PRICES"/>
      <sheetName val="Front"/>
      <sheetName val="wall"/>
      <sheetName val="간선계산"/>
      <sheetName val="금액"/>
      <sheetName val="북제주원가"/>
      <sheetName val="1. 설계조건 2.단면가정 3. 하중계산"/>
      <sheetName val="DATA 입력란"/>
      <sheetName val="실행대비"/>
      <sheetName val="수입"/>
      <sheetName val="3BL공동구 수량"/>
      <sheetName val="h-013211-2"/>
      <sheetName val="Sheet3"/>
      <sheetName val="DATA2000"/>
      <sheetName val="기기리스트"/>
      <sheetName val="포장집계"/>
      <sheetName val="포장연장"/>
      <sheetName val="현장설명"/>
      <sheetName val="SG"/>
      <sheetName val="적용률"/>
      <sheetName val="BH-1 (2)"/>
      <sheetName val="직공비"/>
      <sheetName val="공통,경비내역"/>
      <sheetName val="현금"/>
      <sheetName val="실행예산"/>
      <sheetName val="원가계산"/>
      <sheetName val="공틀공사"/>
      <sheetName val="빙장비사양"/>
      <sheetName val="장비사양"/>
      <sheetName val="현장경상비"/>
      <sheetName val="코드"/>
      <sheetName val="MIJIBI"/>
      <sheetName val="비탈면보호공수량산출"/>
      <sheetName val="대,유,램"/>
      <sheetName val="도급양식"/>
      <sheetName val="3.건축(현장안)"/>
      <sheetName val="실행철강하도"/>
      <sheetName val="기초일위대가"/>
      <sheetName val="코드표"/>
      <sheetName val="이토변실(A3-LINE)"/>
      <sheetName val="2차공사"/>
      <sheetName val="설계명세"/>
      <sheetName val="COVER"/>
      <sheetName val="비교표"/>
      <sheetName val="물량표"/>
      <sheetName val="단가산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건축도급단가"/>
      <sheetName val="실행단가"/>
      <sheetName val="손익"/>
      <sheetName val="EJ"/>
      <sheetName val="단위"/>
      <sheetName val="의왕내역"/>
      <sheetName val="직접비"/>
      <sheetName val="본선 토공 분배표"/>
      <sheetName val="토목(대안)"/>
      <sheetName val="3.공통공사대비"/>
      <sheetName val="수입산정"/>
      <sheetName val="효율계획(당월)"/>
      <sheetName val="전체실적"/>
      <sheetName val="CTEMCOST"/>
      <sheetName val="ELECTRIC"/>
      <sheetName val="SCHEDULE"/>
      <sheetName val="환경기계공정표 (3)"/>
      <sheetName val="단면가정"/>
      <sheetName val="설계조건"/>
      <sheetName val="수목단가"/>
      <sheetName val="시설수량표"/>
      <sheetName val="식재수량표"/>
      <sheetName val="식재일위"/>
      <sheetName val="암센터"/>
      <sheetName val="단가조사"/>
      <sheetName val="일위(PN)"/>
      <sheetName val="Model"/>
      <sheetName val="을"/>
      <sheetName val="자금신청서"/>
      <sheetName val="SAM"/>
      <sheetName val="2234"/>
      <sheetName val="조립1부실적"/>
      <sheetName val="원가계산서(남측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6호기"/>
      <sheetName val="내역서2안"/>
      <sheetName val="견적서"/>
      <sheetName val="시운전연료비"/>
      <sheetName val="1차설계변경내역"/>
      <sheetName val="품셈TABLE"/>
      <sheetName val="지질조사"/>
      <sheetName val="설계기준"/>
      <sheetName val="내역1"/>
      <sheetName val="금액내역서"/>
      <sheetName val="노임단가"/>
      <sheetName val="데이타"/>
      <sheetName val="식재인부"/>
      <sheetName val="대림경상68억"/>
      <sheetName val="역T형교대(말뚝기초)"/>
      <sheetName val="정공공사"/>
      <sheetName val="중기조종사 단위단가"/>
      <sheetName val="인제내역"/>
      <sheetName val="Total"/>
      <sheetName val="공사비산출내역"/>
      <sheetName val="장비"/>
      <sheetName val="산근1"/>
      <sheetName val="노무"/>
      <sheetName val="자재"/>
      <sheetName val="대목"/>
      <sheetName val="간접"/>
      <sheetName val="건축"/>
      <sheetName val="간접비"/>
      <sheetName val="BOM-Form A.1.III"/>
      <sheetName val="CB"/>
      <sheetName val="Sheet2"/>
      <sheetName val="결재갑지"/>
      <sheetName val="설계명세서"/>
      <sheetName val="목차"/>
      <sheetName val="준검 내역서"/>
      <sheetName val="연돌일위집계"/>
      <sheetName val="Sheet1"/>
      <sheetName val="두정2차"/>
      <sheetName val="일위대가(1)"/>
      <sheetName val="설비원가"/>
      <sheetName val="표지"/>
      <sheetName val="2공구산출내역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경비"/>
      <sheetName val="시추주상도"/>
      <sheetName val="경비내역(을)-1"/>
      <sheetName val="통장출금액"/>
      <sheetName val="누계12"/>
      <sheetName val="예산명세서"/>
      <sheetName val="자료입력"/>
      <sheetName val="#REF"/>
      <sheetName val="인건비 "/>
      <sheetName val="변압기 및 발전기 용량"/>
      <sheetName val="일위대가표"/>
      <sheetName val="실행,원가 최종예상"/>
      <sheetName val="단가기준"/>
      <sheetName val="기본계획"/>
      <sheetName val="간지(전기공사)"/>
      <sheetName val="자재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설계변경내역"/>
      <sheetName val="1차설계변경내역 (2)"/>
      <sheetName val="1차설계변경내역 (3)"/>
      <sheetName val="1차설계변경내역 (4)"/>
      <sheetName val="차액보증"/>
      <sheetName val="Sheet2"/>
      <sheetName val="일위대가"/>
      <sheetName val="Sheet5"/>
      <sheetName val="Baby일위대가"/>
      <sheetName val="경비"/>
      <sheetName val="공조기(삭제)"/>
      <sheetName val="직노"/>
      <sheetName val="EACT10"/>
      <sheetName val="견적서"/>
      <sheetName val="건축내역(진해석동)"/>
      <sheetName val="unit 4"/>
      <sheetName val="당초도급CON1"/>
      <sheetName val="지질조사"/>
      <sheetName val="97 사업추정(WEKI)"/>
      <sheetName val="철거산출근거"/>
      <sheetName val="내역"/>
      <sheetName val="2공구산출내역"/>
      <sheetName val="단가DATA"/>
      <sheetName val="을지"/>
      <sheetName val="골조시행"/>
      <sheetName val="BSD _2_"/>
      <sheetName val="자재 집계표"/>
      <sheetName val="터파기및재료"/>
      <sheetName val="경비내역"/>
      <sheetName val="저"/>
      <sheetName val="노무비"/>
      <sheetName val="환산"/>
      <sheetName val="내역(설계)"/>
      <sheetName val="경산"/>
      <sheetName val="현금"/>
      <sheetName val="CONCRETE"/>
      <sheetName val="전체타일실행대비(MOCK UP)"/>
      <sheetName val="내역서"/>
      <sheetName val="노임"/>
      <sheetName val="손익분석"/>
      <sheetName val="입력"/>
      <sheetName val="지질조사분석"/>
      <sheetName val="일위대가표"/>
      <sheetName val="유림골조"/>
      <sheetName val="일반공사"/>
      <sheetName val="실행내역"/>
      <sheetName val="200"/>
      <sheetName val="#REF"/>
      <sheetName val="제품별단가"/>
      <sheetName val="제품별절단길이-0628"/>
      <sheetName val="수량산출"/>
      <sheetName val="토공집계표"/>
      <sheetName val="건축내역"/>
      <sheetName val="일위대가(가설)"/>
      <sheetName val="별표"/>
      <sheetName val="설계예산서"/>
      <sheetName val="진주방향"/>
      <sheetName val="날개벽(시점좌측)"/>
      <sheetName val="건축공사실행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공사비산출내역"/>
      <sheetName val="기둥(원형)"/>
      <sheetName val="기초공"/>
      <sheetName val="구미4단2"/>
      <sheetName val="Sheet1"/>
      <sheetName val="품의서"/>
      <sheetName val="ABUT수량-A1"/>
      <sheetName val="포장공"/>
      <sheetName val="토공"/>
      <sheetName val="공통가설공사"/>
      <sheetName val="일위_파일"/>
      <sheetName val="단가조사"/>
      <sheetName val="설 계"/>
      <sheetName val="코드표"/>
      <sheetName val="단위중량"/>
      <sheetName val="정부노임단가"/>
      <sheetName val="BID"/>
      <sheetName val="CON'C"/>
      <sheetName val="재집"/>
      <sheetName val="직재"/>
      <sheetName val="70%"/>
      <sheetName val="노임이"/>
      <sheetName val="10월"/>
      <sheetName val="단가"/>
      <sheetName val="일위목록"/>
      <sheetName val="Macro1"/>
      <sheetName val="실행"/>
      <sheetName val="동해title"/>
      <sheetName val="지급자재"/>
      <sheetName val="부대내역"/>
      <sheetName val="집계표"/>
      <sheetName val="기초코드"/>
      <sheetName val="분양금할인"/>
      <sheetName val="부재리스트"/>
      <sheetName val="Sheet1 (2)"/>
      <sheetName val="동수"/>
      <sheetName val="자료입력"/>
      <sheetName val="갑지(추정)"/>
      <sheetName val="기초단가"/>
      <sheetName val="토공 total"/>
      <sheetName val="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설계변경내역"/>
      <sheetName val="1차설계변경내역 (2)"/>
      <sheetName val="1차설계변경내역 (3)"/>
      <sheetName val="1차설계변경내역 (4)"/>
      <sheetName val="차액보증"/>
      <sheetName val="Sheet2"/>
      <sheetName val="일위대가"/>
      <sheetName val="Sheet5"/>
      <sheetName val="Baby일위대가"/>
      <sheetName val="경비"/>
      <sheetName val="공조기(삭제)"/>
      <sheetName val="직노"/>
      <sheetName val="EACT10"/>
      <sheetName val="견적서"/>
      <sheetName val="건축내역(진해석동)"/>
      <sheetName val="unit 4"/>
      <sheetName val="당초도급CON1"/>
      <sheetName val="지질조사"/>
      <sheetName val="97 사업추정(WEKI)"/>
      <sheetName val="철거산출근거"/>
      <sheetName val="내역"/>
      <sheetName val="2공구산출내역"/>
      <sheetName val="단가DATA"/>
      <sheetName val="을지"/>
      <sheetName val="골조시행"/>
      <sheetName val="BSD _2_"/>
      <sheetName val="자재 집계표"/>
      <sheetName val="터파기및재료"/>
      <sheetName val="경비내역"/>
      <sheetName val="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계획"/>
      <sheetName val="높이차"/>
      <sheetName val="지질조사"/>
      <sheetName val="토공량"/>
      <sheetName val="2000"/>
      <sheetName val="Sheet1"/>
      <sheetName val="공기"/>
      <sheetName val="개요"/>
      <sheetName val="기준공사비"/>
      <sheetName val="건물별공사비"/>
      <sheetName val="공종별공사비"/>
      <sheetName val="부지주가"/>
      <sheetName val="결과보고서"/>
      <sheetName val="견적조건"/>
      <sheetName val="추가사양"/>
      <sheetName val="추가사양 (2)"/>
      <sheetName val="경비"/>
      <sheetName val="골조시행"/>
      <sheetName val="지질샘플"/>
      <sheetName val="조명율표"/>
      <sheetName val="내역서(전기)"/>
      <sheetName val="간접1"/>
      <sheetName val="단가조사-2"/>
      <sheetName val="수량금액증감"/>
      <sheetName val="2000년1차"/>
      <sheetName val="입찰안"/>
      <sheetName val="#REF"/>
      <sheetName val="접지수량"/>
      <sheetName val="산출내역서"/>
      <sheetName val="전기공사"/>
      <sheetName val="일위대가"/>
      <sheetName val="노임단가"/>
      <sheetName val="교각1"/>
      <sheetName val="신우"/>
      <sheetName val="시운전연료"/>
      <sheetName val="품셈TABLE"/>
      <sheetName val="월별경비집행"/>
      <sheetName val="인원계획"/>
      <sheetName val="내역서"/>
      <sheetName val="실행철강하도"/>
      <sheetName val="DB"/>
      <sheetName val="단가(적용)"/>
      <sheetName val="코드표"/>
      <sheetName val="98지급계획"/>
      <sheetName val="계수시트"/>
      <sheetName val="시운전연료비"/>
      <sheetName val="내역"/>
      <sheetName val="DATA"/>
      <sheetName val="조명일위"/>
      <sheetName val="lee"/>
      <sheetName val="집계표소트"/>
      <sheetName val="대포2교접속"/>
      <sheetName val="천방교접속"/>
      <sheetName val="조건표 (2)"/>
      <sheetName val="전체제잡비"/>
      <sheetName val="약품공급2"/>
      <sheetName val="산출집계(LS-2)"/>
      <sheetName val="일위대가집계표"/>
      <sheetName val="1차설계변경내역"/>
      <sheetName val="Macro(차단기)"/>
      <sheetName val="조경일람"/>
      <sheetName val="산근"/>
      <sheetName val="첨부1"/>
      <sheetName val="Sheet2"/>
      <sheetName val="unit 4"/>
      <sheetName val="2000전체분"/>
      <sheetName val="단가일람"/>
      <sheetName val="잔존년수"/>
      <sheetName val="당진1,2호기전선관설치및접지4차공사내역서-을지"/>
      <sheetName val="토목주소"/>
      <sheetName val="집계표"/>
      <sheetName val="내역(가지)"/>
      <sheetName val="직접경비호표"/>
      <sheetName val="#3_일위대가목록"/>
      <sheetName val="총물량"/>
      <sheetName val="자료입력"/>
      <sheetName val="정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계획"/>
      <sheetName val="높이차"/>
      <sheetName val="지질조사"/>
      <sheetName val="토공량"/>
      <sheetName val="2000"/>
      <sheetName val="Sheet1"/>
      <sheetName val="공기"/>
      <sheetName val="개요"/>
      <sheetName val="기준공사비"/>
      <sheetName val="건물별공사비"/>
      <sheetName val="공종별공사비"/>
      <sheetName val="부지주가"/>
      <sheetName val="결과보고서"/>
      <sheetName val="견적조건"/>
      <sheetName val="추가사양"/>
      <sheetName val="추가사양 (2)"/>
      <sheetName val="경비"/>
      <sheetName val="골조시행"/>
      <sheetName val="지질샘플"/>
      <sheetName val="조명율표"/>
      <sheetName val="내역서(전기)"/>
      <sheetName val="간접1"/>
      <sheetName val="단가조사-2"/>
      <sheetName val="수량금액증감"/>
      <sheetName val="2000년1차"/>
      <sheetName val="입찰안"/>
      <sheetName val="#REF"/>
      <sheetName val="접지수량"/>
      <sheetName val="산출내역서"/>
      <sheetName val="전기공사"/>
      <sheetName val="일위대가"/>
      <sheetName val="노임단가"/>
      <sheetName val="교각1"/>
      <sheetName val="신우"/>
      <sheetName val="시운전연료"/>
      <sheetName val="품셈TABLE"/>
    </sheetNames>
    <sheetDataSet>
      <sheetData sheetId="0" refreshError="1"/>
      <sheetData sheetId="1" refreshError="1"/>
      <sheetData sheetId="2" refreshError="1"/>
      <sheetData sheetId="3" refreshError="1">
        <row r="19">
          <cell r="B19" t="str">
            <v>매립토</v>
          </cell>
          <cell r="C19" t="str">
            <v>풍화토</v>
          </cell>
          <cell r="D19" t="str">
            <v>풍화암</v>
          </cell>
          <cell r="E19" t="str">
            <v>연암</v>
          </cell>
          <cell r="F19" t="str">
            <v>경암</v>
          </cell>
        </row>
        <row r="20">
          <cell r="A20">
            <v>1</v>
          </cell>
          <cell r="B20">
            <v>0.5</v>
          </cell>
          <cell r="C20">
            <v>0.9</v>
          </cell>
          <cell r="D20">
            <v>2</v>
          </cell>
          <cell r="E20" t="str">
            <v>-</v>
          </cell>
          <cell r="F20" t="str">
            <v>-</v>
          </cell>
        </row>
        <row r="21">
          <cell r="A21">
            <v>2</v>
          </cell>
          <cell r="B21">
            <v>0.3</v>
          </cell>
          <cell r="C21">
            <v>1.2</v>
          </cell>
          <cell r="D21">
            <v>3</v>
          </cell>
          <cell r="E21" t="str">
            <v>-</v>
          </cell>
          <cell r="F21" t="str">
            <v>-</v>
          </cell>
        </row>
        <row r="22">
          <cell r="A22">
            <v>3</v>
          </cell>
          <cell r="B22">
            <v>0.5</v>
          </cell>
          <cell r="C22">
            <v>0.9</v>
          </cell>
          <cell r="D22">
            <v>3.8</v>
          </cell>
          <cell r="E22" t="str">
            <v>-</v>
          </cell>
          <cell r="F22" t="str">
            <v>-</v>
          </cell>
        </row>
        <row r="23">
          <cell r="A23">
            <v>4</v>
          </cell>
          <cell r="B23">
            <v>0.3</v>
          </cell>
          <cell r="C23">
            <v>1.1000000000000001</v>
          </cell>
          <cell r="D23">
            <v>4.2</v>
          </cell>
          <cell r="E23" t="str">
            <v>-</v>
          </cell>
          <cell r="F23" t="str">
            <v>-</v>
          </cell>
        </row>
        <row r="24">
          <cell r="A24">
            <v>5</v>
          </cell>
          <cell r="B24">
            <v>0.5</v>
          </cell>
          <cell r="C24">
            <v>1.3</v>
          </cell>
          <cell r="D24" t="str">
            <v>-</v>
          </cell>
          <cell r="E24" t="str">
            <v>-</v>
          </cell>
          <cell r="F24" t="str">
            <v>-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4341-2A16-45F2-95EA-2BD8DDC70FFB}">
  <sheetPr>
    <tabColor theme="5" tint="-0.249977111117893"/>
    <pageSetUpPr fitToPage="1"/>
  </sheetPr>
  <dimension ref="B1:O43"/>
  <sheetViews>
    <sheetView topLeftCell="A4" zoomScaleNormal="100" zoomScaleSheetLayoutView="90" workbookViewId="0">
      <selection activeCell="J31" sqref="J31"/>
    </sheetView>
  </sheetViews>
  <sheetFormatPr defaultColWidth="9" defaultRowHeight="13.5"/>
  <cols>
    <col min="1" max="1" width="9" style="2"/>
    <col min="2" max="2" width="10.625" style="2" customWidth="1"/>
    <col min="3" max="3" width="28.375" style="2" customWidth="1"/>
    <col min="4" max="4" width="9.375" style="2" customWidth="1"/>
    <col min="5" max="5" width="10.375" style="2" customWidth="1"/>
    <col min="6" max="6" width="11.25" style="2" customWidth="1"/>
    <col min="7" max="7" width="10.375" style="2" customWidth="1"/>
    <col min="8" max="8" width="7.625" style="2" customWidth="1"/>
    <col min="9" max="9" width="12.625" style="2" customWidth="1"/>
    <col min="10" max="10" width="14.375" style="2" customWidth="1"/>
    <col min="11" max="11" width="17.125" style="2" customWidth="1"/>
    <col min="12" max="12" width="15.75" style="2" customWidth="1"/>
    <col min="13" max="13" width="9" style="2"/>
    <col min="14" max="14" width="13.125" style="2" bestFit="1" customWidth="1"/>
    <col min="15" max="15" width="14.375" style="2" bestFit="1" customWidth="1"/>
    <col min="16" max="16" width="10.75" style="2" bestFit="1" customWidth="1"/>
    <col min="17" max="16384" width="9" style="2"/>
  </cols>
  <sheetData>
    <row r="1" spans="2:15" ht="38.25" customHeight="1">
      <c r="B1" s="566" t="s">
        <v>0</v>
      </c>
      <c r="C1" s="567"/>
      <c r="D1" s="567"/>
      <c r="E1" s="567"/>
      <c r="F1" s="567"/>
      <c r="G1" s="567"/>
      <c r="H1" s="567"/>
      <c r="I1" s="567"/>
      <c r="J1" s="567"/>
      <c r="K1" s="567"/>
    </row>
    <row r="2" spans="2:15" ht="16.5" customHeight="1">
      <c r="B2" s="3"/>
      <c r="C2" s="38"/>
      <c r="D2" s="4"/>
      <c r="E2" s="4"/>
      <c r="I2" s="28"/>
      <c r="J2" s="39"/>
    </row>
    <row r="3" spans="2:15" ht="27">
      <c r="B3" s="109" t="s">
        <v>1</v>
      </c>
      <c r="C3" s="573" t="s">
        <v>275</v>
      </c>
      <c r="D3" s="574"/>
      <c r="F3" s="105" t="s">
        <v>2</v>
      </c>
      <c r="G3" s="571" t="s">
        <v>3</v>
      </c>
      <c r="H3" s="571"/>
      <c r="I3" s="571"/>
      <c r="J3" s="571"/>
      <c r="K3" s="568"/>
    </row>
    <row r="4" spans="2:15" ht="20.25" customHeight="1">
      <c r="B4" s="110" t="s">
        <v>4</v>
      </c>
      <c r="C4" s="575" t="s">
        <v>276</v>
      </c>
      <c r="D4" s="576"/>
      <c r="F4" s="106" t="s">
        <v>5</v>
      </c>
      <c r="G4" s="572" t="s">
        <v>6</v>
      </c>
      <c r="H4" s="572"/>
      <c r="I4" s="106" t="s">
        <v>7</v>
      </c>
      <c r="J4" s="101" t="s">
        <v>8</v>
      </c>
      <c r="K4" s="569"/>
    </row>
    <row r="5" spans="2:15" ht="20.25" customHeight="1">
      <c r="B5" s="111" t="s">
        <v>9</v>
      </c>
      <c r="C5" s="577" t="s">
        <v>272</v>
      </c>
      <c r="D5" s="578"/>
      <c r="F5" s="106" t="s">
        <v>11</v>
      </c>
      <c r="G5" s="103" t="s">
        <v>273</v>
      </c>
      <c r="H5" s="103"/>
      <c r="I5" s="103"/>
      <c r="J5" s="103"/>
      <c r="K5" s="569"/>
    </row>
    <row r="6" spans="2:15" ht="20.25" customHeight="1">
      <c r="B6" s="7"/>
      <c r="C6" s="7"/>
      <c r="D6" s="7"/>
      <c r="E6" s="7"/>
      <c r="F6" s="107" t="s">
        <v>13</v>
      </c>
      <c r="G6" s="579" t="s">
        <v>14</v>
      </c>
      <c r="H6" s="580"/>
      <c r="I6" s="580"/>
      <c r="J6" s="581"/>
      <c r="K6" s="570"/>
    </row>
    <row r="7" spans="2:15" ht="20.25" customHeight="1">
      <c r="B7" s="9" t="s">
        <v>15</v>
      </c>
      <c r="C7" s="8"/>
      <c r="D7" s="8"/>
      <c r="E7" s="8"/>
      <c r="F7" s="8"/>
      <c r="G7" s="9"/>
      <c r="H7" s="7"/>
      <c r="J7" s="12" t="s">
        <v>16</v>
      </c>
      <c r="K7" s="108">
        <v>44727</v>
      </c>
    </row>
    <row r="8" spans="2:15" ht="29.25" customHeight="1">
      <c r="B8" s="582" t="s">
        <v>17</v>
      </c>
      <c r="C8" s="583"/>
      <c r="D8" s="29" t="s">
        <v>18</v>
      </c>
      <c r="E8" s="584">
        <f>J32</f>
        <v>52223600</v>
      </c>
      <c r="F8" s="584"/>
      <c r="G8" s="584"/>
      <c r="H8" s="584"/>
      <c r="I8" s="351"/>
      <c r="J8" s="92" t="s">
        <v>21</v>
      </c>
      <c r="K8" s="375" t="s">
        <v>22</v>
      </c>
    </row>
    <row r="9" spans="2:15" ht="17.25" customHeight="1">
      <c r="B9" s="585" t="s">
        <v>23</v>
      </c>
      <c r="C9" s="586"/>
      <c r="D9" s="589" t="s">
        <v>24</v>
      </c>
      <c r="E9" s="589" t="s">
        <v>25</v>
      </c>
      <c r="F9" s="591" t="s">
        <v>26</v>
      </c>
      <c r="G9" s="592"/>
      <c r="H9" s="592"/>
      <c r="I9" s="591" t="s">
        <v>28</v>
      </c>
      <c r="J9" s="603"/>
      <c r="K9" s="593" t="s">
        <v>29</v>
      </c>
    </row>
    <row r="10" spans="2:15" ht="17.25" customHeight="1">
      <c r="B10" s="587"/>
      <c r="C10" s="588"/>
      <c r="D10" s="590"/>
      <c r="E10" s="590"/>
      <c r="F10" s="352" t="s">
        <v>30</v>
      </c>
      <c r="G10" s="591" t="s">
        <v>31</v>
      </c>
      <c r="H10" s="592"/>
      <c r="I10" s="352" t="s">
        <v>32</v>
      </c>
      <c r="J10" s="14" t="s">
        <v>33</v>
      </c>
      <c r="K10" s="593"/>
      <c r="O10" s="65"/>
    </row>
    <row r="11" spans="2:15" ht="21.75" customHeight="1">
      <c r="B11" s="594" t="s">
        <v>34</v>
      </c>
      <c r="C11" s="595"/>
      <c r="D11" s="596" t="s">
        <v>35</v>
      </c>
      <c r="E11" s="597"/>
      <c r="F11" s="597"/>
      <c r="G11" s="597"/>
      <c r="H11" s="597"/>
      <c r="I11" s="597"/>
      <c r="J11" s="598"/>
      <c r="K11" s="35"/>
      <c r="O11" s="65"/>
    </row>
    <row r="12" spans="2:15" ht="20.25" customHeight="1">
      <c r="B12" s="599" t="s">
        <v>36</v>
      </c>
      <c r="C12" s="600"/>
      <c r="D12" s="40" t="s">
        <v>37</v>
      </c>
      <c r="E12" s="41">
        <v>12679</v>
      </c>
      <c r="F12" s="40">
        <v>2800</v>
      </c>
      <c r="G12" s="601">
        <f>E12*F12</f>
        <v>35501200</v>
      </c>
      <c r="H12" s="602"/>
      <c r="I12" s="42">
        <f>F12</f>
        <v>2800</v>
      </c>
      <c r="J12" s="43">
        <f>E12*I12</f>
        <v>35501200</v>
      </c>
      <c r="K12" s="36" t="s">
        <v>38</v>
      </c>
      <c r="O12" s="65"/>
    </row>
    <row r="13" spans="2:15" ht="20.25" customHeight="1">
      <c r="B13" s="610" t="s">
        <v>39</v>
      </c>
      <c r="C13" s="611"/>
      <c r="D13" s="44" t="s">
        <v>37</v>
      </c>
      <c r="E13" s="45">
        <v>1650</v>
      </c>
      <c r="F13" s="45">
        <v>2800</v>
      </c>
      <c r="G13" s="612">
        <f>E13*F13</f>
        <v>4620000</v>
      </c>
      <c r="H13" s="613"/>
      <c r="I13" s="46">
        <f>F13</f>
        <v>2800</v>
      </c>
      <c r="J13" s="47">
        <f>E13*I13</f>
        <v>4620000</v>
      </c>
      <c r="K13" s="15" t="s">
        <v>38</v>
      </c>
      <c r="M13" s="5"/>
      <c r="O13" s="65"/>
    </row>
    <row r="14" spans="2:15" ht="20.25" customHeight="1">
      <c r="B14" s="604" t="s">
        <v>40</v>
      </c>
      <c r="C14" s="604"/>
      <c r="D14" s="353" t="s">
        <v>37</v>
      </c>
      <c r="E14" s="68">
        <v>92</v>
      </c>
      <c r="F14" s="68">
        <v>2800</v>
      </c>
      <c r="G14" s="605">
        <f>E14*F14</f>
        <v>257600</v>
      </c>
      <c r="H14" s="605"/>
      <c r="I14" s="46">
        <f>F14</f>
        <v>2800</v>
      </c>
      <c r="J14" s="46">
        <f>E14*I14</f>
        <v>257600</v>
      </c>
      <c r="K14" s="69" t="s">
        <v>41</v>
      </c>
      <c r="M14" s="5"/>
      <c r="O14" s="65"/>
    </row>
    <row r="15" spans="2:15" ht="20.25" customHeight="1">
      <c r="B15" s="604"/>
      <c r="C15" s="604"/>
      <c r="D15" s="353"/>
      <c r="E15" s="68"/>
      <c r="F15" s="68"/>
      <c r="G15" s="605">
        <f>E15*F15</f>
        <v>0</v>
      </c>
      <c r="H15" s="605"/>
      <c r="I15" s="46">
        <f>F15</f>
        <v>0</v>
      </c>
      <c r="J15" s="46">
        <f>E15*I15</f>
        <v>0</v>
      </c>
      <c r="K15" s="69"/>
      <c r="M15" s="5"/>
      <c r="O15" s="65"/>
    </row>
    <row r="16" spans="2:15" ht="20.25" customHeight="1">
      <c r="B16" s="606" t="s">
        <v>42</v>
      </c>
      <c r="C16" s="607"/>
      <c r="D16" s="17" t="s">
        <v>264</v>
      </c>
      <c r="E16" s="48"/>
      <c r="F16" s="17">
        <v>30</v>
      </c>
      <c r="G16" s="608"/>
      <c r="H16" s="609"/>
      <c r="I16" s="52"/>
      <c r="J16" s="53"/>
      <c r="K16" s="350" t="s">
        <v>48</v>
      </c>
      <c r="O16" s="65"/>
    </row>
    <row r="17" spans="2:15" ht="24.75" customHeight="1">
      <c r="B17" s="615" t="s">
        <v>43</v>
      </c>
      <c r="C17" s="616"/>
      <c r="D17" s="355"/>
      <c r="E17" s="49">
        <f>SUM(E12:E16)</f>
        <v>14421</v>
      </c>
      <c r="F17" s="355"/>
      <c r="G17" s="617">
        <f>SUM(G12:G16)</f>
        <v>40378800</v>
      </c>
      <c r="H17" s="618"/>
      <c r="I17" s="50"/>
      <c r="J17" s="51">
        <f>SUM(J12:J16)</f>
        <v>40378800</v>
      </c>
      <c r="K17" s="16"/>
      <c r="O17" s="65"/>
    </row>
    <row r="18" spans="2:15" ht="23.25" customHeight="1">
      <c r="B18" s="594" t="s">
        <v>44</v>
      </c>
      <c r="C18" s="595"/>
      <c r="D18" s="596" t="s">
        <v>87</v>
      </c>
      <c r="E18" s="597"/>
      <c r="F18" s="597"/>
      <c r="G18" s="597"/>
      <c r="H18" s="597"/>
      <c r="I18" s="597"/>
      <c r="J18" s="598"/>
      <c r="K18" s="35"/>
      <c r="O18" s="65"/>
    </row>
    <row r="19" spans="2:15" ht="20.25" customHeight="1">
      <c r="B19" s="599" t="s">
        <v>45</v>
      </c>
      <c r="C19" s="619"/>
      <c r="D19" s="40" t="s">
        <v>46</v>
      </c>
      <c r="E19" s="41">
        <v>1346</v>
      </c>
      <c r="F19" s="40">
        <v>6800</v>
      </c>
      <c r="G19" s="601">
        <f>E19*F19</f>
        <v>9152800</v>
      </c>
      <c r="H19" s="602"/>
      <c r="I19" s="42">
        <f>F19</f>
        <v>6800</v>
      </c>
      <c r="J19" s="43">
        <f>E19*I19</f>
        <v>9152800</v>
      </c>
      <c r="K19" s="36" t="s">
        <v>89</v>
      </c>
      <c r="O19" s="65"/>
    </row>
    <row r="20" spans="2:15" ht="20.25" customHeight="1">
      <c r="B20" s="610" t="s">
        <v>271</v>
      </c>
      <c r="C20" s="614"/>
      <c r="D20" s="44" t="s">
        <v>46</v>
      </c>
      <c r="E20" s="45">
        <v>1346</v>
      </c>
      <c r="F20" s="44">
        <v>2000</v>
      </c>
      <c r="G20" s="612">
        <f>E20*F20</f>
        <v>2692000</v>
      </c>
      <c r="H20" s="613"/>
      <c r="I20" s="46">
        <f>F20</f>
        <v>2000</v>
      </c>
      <c r="J20" s="47">
        <f>E20*I20</f>
        <v>2692000</v>
      </c>
      <c r="K20" s="15" t="s">
        <v>89</v>
      </c>
    </row>
    <row r="21" spans="2:15" ht="20.25" customHeight="1">
      <c r="B21" s="610"/>
      <c r="C21" s="614"/>
      <c r="D21" s="44"/>
      <c r="E21" s="45"/>
      <c r="F21" s="44"/>
      <c r="G21" s="612"/>
      <c r="H21" s="613"/>
      <c r="I21" s="46"/>
      <c r="J21" s="47"/>
      <c r="K21" s="15"/>
    </row>
    <row r="22" spans="2:15" ht="20.25" customHeight="1">
      <c r="B22" s="621" t="s">
        <v>90</v>
      </c>
      <c r="C22" s="622"/>
      <c r="D22" s="17" t="s">
        <v>47</v>
      </c>
      <c r="E22" s="48"/>
      <c r="F22" s="17">
        <v>40</v>
      </c>
      <c r="G22" s="608"/>
      <c r="H22" s="609"/>
      <c r="I22" s="52"/>
      <c r="J22" s="53"/>
      <c r="K22" s="350" t="s">
        <v>48</v>
      </c>
      <c r="L22" s="34"/>
    </row>
    <row r="23" spans="2:15" ht="24.75" customHeight="1">
      <c r="B23" s="615" t="s">
        <v>43</v>
      </c>
      <c r="C23" s="616"/>
      <c r="D23" s="355"/>
      <c r="E23" s="49">
        <f>E19</f>
        <v>1346</v>
      </c>
      <c r="F23" s="355">
        <f>G23/E23</f>
        <v>8800</v>
      </c>
      <c r="G23" s="617">
        <f>SUM(G19:G22)</f>
        <v>11844800</v>
      </c>
      <c r="H23" s="618"/>
      <c r="I23" s="50">
        <f>SUM(I19:I22)</f>
        <v>8800</v>
      </c>
      <c r="J23" s="51">
        <f>SUM(J19:J22)</f>
        <v>11844800</v>
      </c>
      <c r="K23" s="16"/>
    </row>
    <row r="24" spans="2:15" ht="27" customHeight="1">
      <c r="B24" s="623" t="s">
        <v>49</v>
      </c>
      <c r="C24" s="624"/>
      <c r="D24" s="625" t="s">
        <v>50</v>
      </c>
      <c r="E24" s="626"/>
      <c r="F24" s="626"/>
      <c r="G24" s="626"/>
      <c r="H24" s="626"/>
      <c r="I24" s="626"/>
      <c r="J24" s="627"/>
      <c r="K24" s="54"/>
    </row>
    <row r="25" spans="2:15" ht="20.25" customHeight="1">
      <c r="B25" s="628" t="s">
        <v>51</v>
      </c>
      <c r="C25" s="628"/>
      <c r="D25" s="40" t="s">
        <v>52</v>
      </c>
      <c r="E25" s="41">
        <v>1</v>
      </c>
      <c r="F25" s="40">
        <v>1000000</v>
      </c>
      <c r="G25" s="620"/>
      <c r="H25" s="620"/>
      <c r="I25" s="42"/>
      <c r="J25" s="42"/>
      <c r="K25" s="36"/>
      <c r="L25" s="345"/>
      <c r="M25" s="345"/>
      <c r="N25" s="345"/>
      <c r="O25" s="345"/>
    </row>
    <row r="26" spans="2:15" ht="20.25" customHeight="1">
      <c r="B26" s="604" t="s">
        <v>53</v>
      </c>
      <c r="C26" s="604"/>
      <c r="D26" s="353" t="s">
        <v>54</v>
      </c>
      <c r="E26" s="68">
        <v>1</v>
      </c>
      <c r="F26" s="68">
        <v>280000</v>
      </c>
      <c r="G26" s="605"/>
      <c r="H26" s="605"/>
      <c r="I26" s="46"/>
      <c r="J26" s="46"/>
      <c r="K26" s="69"/>
      <c r="L26" s="345"/>
      <c r="M26" s="346"/>
      <c r="N26" s="346"/>
      <c r="O26" s="346"/>
    </row>
    <row r="27" spans="2:15" ht="20.25" customHeight="1">
      <c r="B27" s="604" t="s">
        <v>55</v>
      </c>
      <c r="C27" s="604"/>
      <c r="D27" s="353" t="s">
        <v>56</v>
      </c>
      <c r="E27" s="68"/>
      <c r="F27" s="68">
        <v>8000</v>
      </c>
      <c r="G27" s="605"/>
      <c r="H27" s="605"/>
      <c r="I27" s="46"/>
      <c r="J27" s="46"/>
      <c r="K27" s="69" t="s">
        <v>57</v>
      </c>
      <c r="L27" s="347"/>
      <c r="M27" s="348"/>
      <c r="N27" s="347"/>
      <c r="O27" s="349"/>
    </row>
    <row r="28" spans="2:15" ht="20.25" customHeight="1">
      <c r="B28" s="604" t="s">
        <v>58</v>
      </c>
      <c r="C28" s="604"/>
      <c r="D28" s="353" t="s">
        <v>56</v>
      </c>
      <c r="E28" s="68"/>
      <c r="F28" s="353">
        <v>6000</v>
      </c>
      <c r="G28" s="605"/>
      <c r="H28" s="605"/>
      <c r="I28" s="46"/>
      <c r="J28" s="46"/>
      <c r="K28" s="69" t="s">
        <v>57</v>
      </c>
      <c r="L28" s="345"/>
      <c r="M28" s="346"/>
      <c r="N28" s="345"/>
      <c r="O28" s="345"/>
    </row>
    <row r="29" spans="2:15" ht="20.25" customHeight="1">
      <c r="B29" s="640" t="s">
        <v>262</v>
      </c>
      <c r="C29" s="640"/>
      <c r="D29" s="376"/>
      <c r="E29" s="377"/>
      <c r="F29" s="376"/>
      <c r="G29" s="641" t="s">
        <v>59</v>
      </c>
      <c r="H29" s="641"/>
      <c r="I29" s="378"/>
      <c r="J29" s="378"/>
      <c r="K29" s="379"/>
      <c r="L29" s="345"/>
      <c r="M29" s="345"/>
      <c r="N29" s="345"/>
      <c r="O29" s="345"/>
    </row>
    <row r="30" spans="2:15" ht="24.75" customHeight="1">
      <c r="B30" s="642" t="s">
        <v>60</v>
      </c>
      <c r="C30" s="642"/>
      <c r="D30" s="55"/>
      <c r="E30" s="355"/>
      <c r="F30" s="355"/>
      <c r="G30" s="643">
        <f>SUM(G25:H29)</f>
        <v>0</v>
      </c>
      <c r="H30" s="643"/>
      <c r="I30" s="50"/>
      <c r="J30" s="56">
        <f>SUM(J25:J29)</f>
        <v>0</v>
      </c>
      <c r="K30" s="57"/>
      <c r="L30" s="6"/>
    </row>
    <row r="31" spans="2:15" ht="24.75" customHeight="1">
      <c r="B31" s="633" t="s">
        <v>61</v>
      </c>
      <c r="C31" s="633"/>
      <c r="D31" s="58"/>
      <c r="E31" s="59"/>
      <c r="F31" s="354"/>
      <c r="G31" s="634"/>
      <c r="H31" s="634"/>
      <c r="I31" s="18"/>
      <c r="J31" s="60">
        <f>G31</f>
        <v>0</v>
      </c>
      <c r="K31" s="19"/>
      <c r="L31" s="6"/>
    </row>
    <row r="32" spans="2:15" ht="24.75" customHeight="1">
      <c r="B32" s="635" t="s">
        <v>62</v>
      </c>
      <c r="C32" s="635"/>
      <c r="D32" s="25"/>
      <c r="E32" s="25"/>
      <c r="F32" s="26"/>
      <c r="G32" s="636">
        <f>G17+G23+G30-G31</f>
        <v>52223600</v>
      </c>
      <c r="H32" s="636"/>
      <c r="I32" s="61"/>
      <c r="J32" s="33">
        <f>G32-J31</f>
        <v>52223600</v>
      </c>
      <c r="K32" s="62"/>
      <c r="L32" s="6"/>
    </row>
    <row r="33" spans="2:12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6"/>
    </row>
    <row r="34" spans="2:12" ht="19.5" customHeight="1">
      <c r="B34" s="637" t="s">
        <v>65</v>
      </c>
      <c r="C34" s="638"/>
      <c r="D34" s="638"/>
      <c r="E34" s="638"/>
      <c r="F34" s="638"/>
      <c r="G34" s="638"/>
      <c r="H34" s="638"/>
      <c r="I34" s="638"/>
      <c r="J34" s="638"/>
      <c r="K34" s="639"/>
    </row>
    <row r="35" spans="2:12" ht="19.5" customHeight="1">
      <c r="B35" s="365">
        <v>1</v>
      </c>
      <c r="C35" s="366" t="s">
        <v>66</v>
      </c>
      <c r="D35" s="367"/>
      <c r="E35" s="367"/>
      <c r="F35" s="367"/>
      <c r="G35" s="367"/>
      <c r="H35" s="371"/>
      <c r="I35" s="367"/>
      <c r="J35" s="367"/>
      <c r="K35" s="370"/>
    </row>
    <row r="36" spans="2:12" ht="19.5" customHeight="1">
      <c r="B36" s="22">
        <v>2</v>
      </c>
      <c r="C36" s="356" t="s">
        <v>68</v>
      </c>
      <c r="D36" s="32"/>
      <c r="E36" s="32"/>
      <c r="F36" s="32"/>
      <c r="G36" s="32"/>
      <c r="H36" s="372"/>
      <c r="I36" s="32"/>
      <c r="J36" s="32"/>
      <c r="K36" s="24"/>
    </row>
    <row r="37" spans="2:12" ht="19.5" customHeight="1">
      <c r="B37" s="22">
        <v>3</v>
      </c>
      <c r="C37" s="356" t="s">
        <v>277</v>
      </c>
      <c r="D37" s="23"/>
      <c r="E37" s="23"/>
      <c r="F37" s="23"/>
      <c r="G37" s="23"/>
      <c r="H37" s="372"/>
      <c r="I37" s="23"/>
      <c r="J37" s="23"/>
      <c r="K37" s="24"/>
    </row>
    <row r="38" spans="2:12" ht="19.5" customHeight="1">
      <c r="B38" s="22">
        <v>4</v>
      </c>
      <c r="C38" s="356" t="s">
        <v>279</v>
      </c>
      <c r="D38" s="23"/>
      <c r="E38" s="23"/>
      <c r="F38" s="23"/>
      <c r="G38" s="23"/>
      <c r="H38" s="372"/>
      <c r="I38" s="23"/>
      <c r="J38" s="23"/>
      <c r="K38" s="24"/>
    </row>
    <row r="39" spans="2:12" ht="19.5" customHeight="1">
      <c r="B39" s="94">
        <v>5</v>
      </c>
      <c r="C39" s="357" t="s">
        <v>75</v>
      </c>
      <c r="D39" s="95"/>
      <c r="E39" s="95"/>
      <c r="F39" s="95"/>
      <c r="G39" s="95"/>
      <c r="H39" s="373"/>
      <c r="I39" s="95"/>
      <c r="J39" s="95"/>
      <c r="K39" s="368"/>
    </row>
    <row r="40" spans="2:12" ht="19.5" customHeight="1">
      <c r="B40" s="22">
        <v>6</v>
      </c>
      <c r="C40" s="356" t="s">
        <v>278</v>
      </c>
      <c r="D40" s="23"/>
      <c r="E40" s="356"/>
      <c r="F40" s="356"/>
      <c r="G40" s="356"/>
      <c r="H40" s="372"/>
      <c r="I40" s="356"/>
      <c r="J40" s="356"/>
      <c r="K40" s="24"/>
    </row>
    <row r="41" spans="2:12" ht="19.5" customHeight="1">
      <c r="B41" s="96">
        <v>7</v>
      </c>
      <c r="C41" s="97" t="s">
        <v>82</v>
      </c>
      <c r="D41" s="98"/>
      <c r="E41" s="99"/>
      <c r="F41" s="100"/>
      <c r="G41" s="100"/>
      <c r="H41" s="374"/>
      <c r="I41" s="100"/>
      <c r="J41" s="100"/>
      <c r="K41" s="369"/>
    </row>
    <row r="42" spans="2:12" ht="14.25" customHeight="1">
      <c r="B42" s="9"/>
      <c r="C42" s="9"/>
      <c r="D42" s="9"/>
      <c r="E42" s="9"/>
      <c r="F42" s="9"/>
      <c r="G42" s="9"/>
      <c r="H42" s="9"/>
      <c r="I42" s="629" t="s">
        <v>83</v>
      </c>
      <c r="J42" s="629"/>
      <c r="K42" s="629"/>
    </row>
    <row r="43" spans="2:12" ht="16.5">
      <c r="I43" s="630" t="s">
        <v>84</v>
      </c>
      <c r="J43" s="631"/>
      <c r="K43" s="632"/>
    </row>
  </sheetData>
  <mergeCells count="65">
    <mergeCell ref="B29:C29"/>
    <mergeCell ref="G29:H29"/>
    <mergeCell ref="B30:C30"/>
    <mergeCell ref="G30:H30"/>
    <mergeCell ref="B27:C27"/>
    <mergeCell ref="G27:H27"/>
    <mergeCell ref="B28:C28"/>
    <mergeCell ref="G28:H28"/>
    <mergeCell ref="I42:K42"/>
    <mergeCell ref="I43:K43"/>
    <mergeCell ref="B31:C31"/>
    <mergeCell ref="G31:H31"/>
    <mergeCell ref="B32:C32"/>
    <mergeCell ref="G32:H32"/>
    <mergeCell ref="B34:G34"/>
    <mergeCell ref="H34:K34"/>
    <mergeCell ref="G25:H25"/>
    <mergeCell ref="B26:C26"/>
    <mergeCell ref="G26:H26"/>
    <mergeCell ref="B22:C22"/>
    <mergeCell ref="G22:H22"/>
    <mergeCell ref="B23:C23"/>
    <mergeCell ref="G23:H23"/>
    <mergeCell ref="B24:C24"/>
    <mergeCell ref="D24:J24"/>
    <mergeCell ref="B25:C25"/>
    <mergeCell ref="B20:C20"/>
    <mergeCell ref="G20:H20"/>
    <mergeCell ref="B21:C21"/>
    <mergeCell ref="G21:H21"/>
    <mergeCell ref="B17:C17"/>
    <mergeCell ref="G17:H17"/>
    <mergeCell ref="B18:C18"/>
    <mergeCell ref="D18:J18"/>
    <mergeCell ref="B19:C19"/>
    <mergeCell ref="G19:H19"/>
    <mergeCell ref="B15:C15"/>
    <mergeCell ref="G15:H15"/>
    <mergeCell ref="B16:C16"/>
    <mergeCell ref="G16:H16"/>
    <mergeCell ref="B13:C13"/>
    <mergeCell ref="G13:H13"/>
    <mergeCell ref="B14:C14"/>
    <mergeCell ref="G14:H14"/>
    <mergeCell ref="K9:K10"/>
    <mergeCell ref="G10:H10"/>
    <mergeCell ref="B11:C11"/>
    <mergeCell ref="D11:J11"/>
    <mergeCell ref="B12:C12"/>
    <mergeCell ref="G12:H12"/>
    <mergeCell ref="I9:J9"/>
    <mergeCell ref="B8:C8"/>
    <mergeCell ref="E8:H8"/>
    <mergeCell ref="B9:C10"/>
    <mergeCell ref="D9:D10"/>
    <mergeCell ref="E9:E10"/>
    <mergeCell ref="F9:H9"/>
    <mergeCell ref="B1:K1"/>
    <mergeCell ref="K3:K6"/>
    <mergeCell ref="G3:J3"/>
    <mergeCell ref="G4:H4"/>
    <mergeCell ref="C3:D3"/>
    <mergeCell ref="C4:D4"/>
    <mergeCell ref="C5:D5"/>
    <mergeCell ref="G6:J6"/>
  </mergeCells>
  <phoneticPr fontId="78" type="noConversion"/>
  <printOptions horizontalCentered="1" verticalCentered="1"/>
  <pageMargins left="0" right="0" top="0.19685039370078741" bottom="0" header="0.35433070866141736" footer="0.11811023622047245"/>
  <pageSetup paperSize="9" scale="63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B1:R48"/>
  <sheetViews>
    <sheetView zoomScaleNormal="100" zoomScaleSheetLayoutView="90" workbookViewId="0">
      <selection activeCell="O24" sqref="O24:Q29"/>
    </sheetView>
  </sheetViews>
  <sheetFormatPr defaultColWidth="9" defaultRowHeight="13.5"/>
  <cols>
    <col min="1" max="1" width="9" style="2"/>
    <col min="2" max="2" width="10.625" style="2" customWidth="1"/>
    <col min="3" max="3" width="28.375" style="2" customWidth="1"/>
    <col min="4" max="4" width="9.375" style="2" customWidth="1"/>
    <col min="5" max="5" width="10.375" style="2" customWidth="1"/>
    <col min="6" max="6" width="11.25" style="2" customWidth="1"/>
    <col min="7" max="7" width="14.25" style="2" customWidth="1"/>
    <col min="8" max="8" width="7.625" style="2" customWidth="1"/>
    <col min="9" max="9" width="11.875" style="2" customWidth="1"/>
    <col min="10" max="10" width="11.625" style="2" customWidth="1"/>
    <col min="11" max="11" width="3.375" style="2" customWidth="1"/>
    <col min="12" max="12" width="12.625" style="2" customWidth="1"/>
    <col min="13" max="13" width="14.375" style="2" customWidth="1"/>
    <col min="14" max="14" width="17.125" style="2" customWidth="1"/>
    <col min="15" max="15" width="15.75" style="2" customWidth="1"/>
    <col min="16" max="16" width="9" style="2"/>
    <col min="17" max="17" width="13.125" style="2" bestFit="1" customWidth="1"/>
    <col min="18" max="18" width="14.375" style="2" bestFit="1" customWidth="1"/>
    <col min="19" max="19" width="10.75" style="2" bestFit="1" customWidth="1"/>
    <col min="20" max="16384" width="9" style="2"/>
  </cols>
  <sheetData>
    <row r="1" spans="2:18" ht="38.25" customHeight="1">
      <c r="B1" s="566" t="s">
        <v>0</v>
      </c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2:18" ht="16.5" customHeight="1">
      <c r="B2" s="3"/>
      <c r="C2" s="38"/>
      <c r="D2" s="4"/>
      <c r="E2" s="4"/>
      <c r="L2" s="28"/>
      <c r="M2" s="39"/>
    </row>
    <row r="3" spans="2:18" ht="27">
      <c r="B3" s="109" t="s">
        <v>1</v>
      </c>
      <c r="C3" s="658" t="s">
        <v>275</v>
      </c>
      <c r="D3" s="658"/>
      <c r="E3" s="574"/>
      <c r="F3" s="7"/>
      <c r="G3" s="7"/>
      <c r="H3" s="7"/>
      <c r="I3" s="105" t="s">
        <v>2</v>
      </c>
      <c r="J3" s="571" t="s">
        <v>3</v>
      </c>
      <c r="K3" s="571"/>
      <c r="L3" s="571"/>
      <c r="M3" s="571"/>
      <c r="N3" s="568"/>
    </row>
    <row r="4" spans="2:18" ht="20.25" customHeight="1">
      <c r="B4" s="110" t="s">
        <v>4</v>
      </c>
      <c r="C4" s="659" t="s">
        <v>276</v>
      </c>
      <c r="D4" s="659"/>
      <c r="E4" s="576"/>
      <c r="F4" s="7"/>
      <c r="G4" s="7"/>
      <c r="H4" s="7"/>
      <c r="I4" s="106" t="s">
        <v>5</v>
      </c>
      <c r="J4" s="572" t="s">
        <v>6</v>
      </c>
      <c r="K4" s="572"/>
      <c r="L4" s="106" t="s">
        <v>7</v>
      </c>
      <c r="M4" s="101" t="s">
        <v>8</v>
      </c>
      <c r="N4" s="569"/>
    </row>
    <row r="5" spans="2:18" ht="20.25" customHeight="1">
      <c r="B5" s="111" t="s">
        <v>9</v>
      </c>
      <c r="C5" s="660" t="s">
        <v>272</v>
      </c>
      <c r="D5" s="660"/>
      <c r="E5" s="578"/>
      <c r="F5" s="7"/>
      <c r="G5" s="7"/>
      <c r="H5" s="7"/>
      <c r="I5" s="106" t="s">
        <v>11</v>
      </c>
      <c r="J5" s="103" t="s">
        <v>273</v>
      </c>
      <c r="K5" s="103"/>
      <c r="L5" s="103"/>
      <c r="M5" s="103"/>
      <c r="N5" s="569"/>
    </row>
    <row r="6" spans="2:18" ht="20.25" customHeight="1">
      <c r="B6" s="7"/>
      <c r="C6" s="7"/>
      <c r="D6" s="7"/>
      <c r="E6" s="7"/>
      <c r="F6" s="7"/>
      <c r="G6" s="7"/>
      <c r="H6" s="7"/>
      <c r="I6" s="107" t="s">
        <v>13</v>
      </c>
      <c r="J6" s="104" t="s">
        <v>14</v>
      </c>
      <c r="K6" s="104"/>
      <c r="L6" s="104"/>
      <c r="M6" s="104"/>
      <c r="N6" s="570"/>
    </row>
    <row r="7" spans="2:18" ht="20.25" customHeight="1">
      <c r="B7" s="9" t="s">
        <v>15</v>
      </c>
      <c r="C7" s="8"/>
      <c r="D7" s="8"/>
      <c r="E7" s="8"/>
      <c r="F7" s="8"/>
      <c r="G7" s="9"/>
      <c r="H7" s="7"/>
      <c r="I7" s="10"/>
      <c r="J7" s="10"/>
      <c r="K7" s="11"/>
      <c r="M7" s="12" t="s">
        <v>16</v>
      </c>
      <c r="N7" s="108">
        <v>44727</v>
      </c>
    </row>
    <row r="8" spans="2:18" ht="29.25" customHeight="1">
      <c r="B8" s="582" t="s">
        <v>17</v>
      </c>
      <c r="C8" s="583"/>
      <c r="D8" s="29" t="s">
        <v>18</v>
      </c>
      <c r="E8" s="584">
        <f>K8</f>
        <v>122107000</v>
      </c>
      <c r="F8" s="584"/>
      <c r="G8" s="584"/>
      <c r="H8" s="584"/>
      <c r="I8" s="30" t="s">
        <v>19</v>
      </c>
      <c r="J8" s="30" t="s">
        <v>20</v>
      </c>
      <c r="K8" s="661">
        <f>M32</f>
        <v>122107000</v>
      </c>
      <c r="L8" s="661"/>
      <c r="M8" s="92" t="s">
        <v>21</v>
      </c>
      <c r="N8" s="93" t="s">
        <v>22</v>
      </c>
    </row>
    <row r="9" spans="2:18" ht="17.25" customHeight="1">
      <c r="B9" s="585" t="s">
        <v>23</v>
      </c>
      <c r="C9" s="586"/>
      <c r="D9" s="589" t="s">
        <v>24</v>
      </c>
      <c r="E9" s="589" t="s">
        <v>25</v>
      </c>
      <c r="F9" s="591" t="s">
        <v>26</v>
      </c>
      <c r="G9" s="592"/>
      <c r="H9" s="592"/>
      <c r="I9" s="591" t="s">
        <v>27</v>
      </c>
      <c r="J9" s="592"/>
      <c r="K9" s="603"/>
      <c r="L9" s="591" t="s">
        <v>28</v>
      </c>
      <c r="M9" s="603"/>
      <c r="N9" s="593" t="s">
        <v>29</v>
      </c>
    </row>
    <row r="10" spans="2:18" ht="17.25" customHeight="1">
      <c r="B10" s="587"/>
      <c r="C10" s="588"/>
      <c r="D10" s="590"/>
      <c r="E10" s="590"/>
      <c r="F10" s="13" t="s">
        <v>30</v>
      </c>
      <c r="G10" s="591" t="s">
        <v>31</v>
      </c>
      <c r="H10" s="592"/>
      <c r="I10" s="13" t="s">
        <v>30</v>
      </c>
      <c r="J10" s="591" t="s">
        <v>31</v>
      </c>
      <c r="K10" s="603"/>
      <c r="L10" s="13" t="s">
        <v>32</v>
      </c>
      <c r="M10" s="14" t="s">
        <v>33</v>
      </c>
      <c r="N10" s="593"/>
      <c r="R10" s="65"/>
    </row>
    <row r="11" spans="2:18" ht="21.75" customHeight="1">
      <c r="B11" s="594" t="s">
        <v>34</v>
      </c>
      <c r="C11" s="595"/>
      <c r="D11" s="596" t="s">
        <v>35</v>
      </c>
      <c r="E11" s="597"/>
      <c r="F11" s="597"/>
      <c r="G11" s="597"/>
      <c r="H11" s="597"/>
      <c r="I11" s="597"/>
      <c r="J11" s="597"/>
      <c r="K11" s="597"/>
      <c r="L11" s="597"/>
      <c r="M11" s="598"/>
      <c r="N11" s="35"/>
      <c r="R11" s="65"/>
    </row>
    <row r="12" spans="2:18" ht="20.25" customHeight="1">
      <c r="B12" s="599" t="s">
        <v>36</v>
      </c>
      <c r="C12" s="600"/>
      <c r="D12" s="40" t="s">
        <v>37</v>
      </c>
      <c r="E12" s="41">
        <v>12679</v>
      </c>
      <c r="F12" s="40">
        <v>2800</v>
      </c>
      <c r="G12" s="601">
        <f>E12*F12</f>
        <v>35501200</v>
      </c>
      <c r="H12" s="602"/>
      <c r="I12" s="42">
        <v>4000</v>
      </c>
      <c r="J12" s="656">
        <f>E12*I12</f>
        <v>50716000</v>
      </c>
      <c r="K12" s="657"/>
      <c r="L12" s="42">
        <f t="shared" ref="L12:L17" si="0">F12+I12</f>
        <v>6800</v>
      </c>
      <c r="M12" s="43">
        <f>E12*L12</f>
        <v>86217200</v>
      </c>
      <c r="N12" s="36" t="s">
        <v>38</v>
      </c>
      <c r="R12" s="65"/>
    </row>
    <row r="13" spans="2:18" ht="20.25" customHeight="1">
      <c r="B13" s="610" t="s">
        <v>39</v>
      </c>
      <c r="C13" s="611"/>
      <c r="D13" s="44" t="s">
        <v>37</v>
      </c>
      <c r="E13" s="45">
        <v>1650</v>
      </c>
      <c r="F13" s="45">
        <v>2800</v>
      </c>
      <c r="G13" s="612">
        <f>E13*F13</f>
        <v>4620000</v>
      </c>
      <c r="H13" s="613"/>
      <c r="I13" s="46">
        <v>4000</v>
      </c>
      <c r="J13" s="652">
        <f>E13*I13</f>
        <v>6600000</v>
      </c>
      <c r="K13" s="653"/>
      <c r="L13" s="46">
        <f t="shared" si="0"/>
        <v>6800</v>
      </c>
      <c r="M13" s="47">
        <f>E13*L13</f>
        <v>11220000</v>
      </c>
      <c r="N13" s="15" t="s">
        <v>38</v>
      </c>
      <c r="P13" s="5"/>
      <c r="R13" s="65"/>
    </row>
    <row r="14" spans="2:18" ht="20.25" customHeight="1">
      <c r="B14" s="604" t="s">
        <v>40</v>
      </c>
      <c r="C14" s="604"/>
      <c r="D14" s="67" t="s">
        <v>37</v>
      </c>
      <c r="E14" s="68">
        <v>92</v>
      </c>
      <c r="F14" s="68">
        <v>2800</v>
      </c>
      <c r="G14" s="605">
        <f>E14*F14</f>
        <v>257600</v>
      </c>
      <c r="H14" s="605"/>
      <c r="I14" s="46">
        <v>5000</v>
      </c>
      <c r="J14" s="644">
        <f>E14*I14</f>
        <v>460000</v>
      </c>
      <c r="K14" s="644"/>
      <c r="L14" s="46">
        <f t="shared" si="0"/>
        <v>7800</v>
      </c>
      <c r="M14" s="46">
        <f>E14*L14</f>
        <v>717600</v>
      </c>
      <c r="N14" s="69" t="s">
        <v>41</v>
      </c>
      <c r="P14" s="5"/>
      <c r="R14" s="65"/>
    </row>
    <row r="15" spans="2:18" ht="20.25" customHeight="1">
      <c r="B15" s="604"/>
      <c r="C15" s="604"/>
      <c r="D15" s="67"/>
      <c r="E15" s="68"/>
      <c r="F15" s="68"/>
      <c r="G15" s="605">
        <f>E15*F15</f>
        <v>0</v>
      </c>
      <c r="H15" s="605"/>
      <c r="I15" s="46"/>
      <c r="J15" s="644">
        <f>E15*I15</f>
        <v>0</v>
      </c>
      <c r="K15" s="644"/>
      <c r="L15" s="46">
        <f t="shared" si="0"/>
        <v>0</v>
      </c>
      <c r="M15" s="46">
        <f>E15*L15</f>
        <v>0</v>
      </c>
      <c r="N15" s="69"/>
      <c r="P15" s="5"/>
      <c r="R15" s="65"/>
    </row>
    <row r="16" spans="2:18" ht="20.25" customHeight="1">
      <c r="B16" s="606" t="s">
        <v>42</v>
      </c>
      <c r="C16" s="607"/>
      <c r="D16" s="17" t="s">
        <v>264</v>
      </c>
      <c r="E16" s="48"/>
      <c r="F16" s="17">
        <v>30</v>
      </c>
      <c r="G16" s="608"/>
      <c r="H16" s="609"/>
      <c r="I16" s="52"/>
      <c r="J16" s="654">
        <f>E16*I16</f>
        <v>0</v>
      </c>
      <c r="K16" s="655"/>
      <c r="L16" s="52"/>
      <c r="M16" s="53"/>
      <c r="N16" s="37" t="s">
        <v>48</v>
      </c>
      <c r="R16" s="65"/>
    </row>
    <row r="17" spans="2:18" ht="24.75" customHeight="1">
      <c r="B17" s="615" t="s">
        <v>43</v>
      </c>
      <c r="C17" s="616"/>
      <c r="D17" s="66"/>
      <c r="E17" s="49">
        <f>SUM(E12:E16)</f>
        <v>14421</v>
      </c>
      <c r="F17" s="66"/>
      <c r="G17" s="617">
        <f>SUM(G12:G16)</f>
        <v>40378800</v>
      </c>
      <c r="H17" s="618"/>
      <c r="I17" s="50"/>
      <c r="J17" s="650">
        <f>SUM(J12:J16)</f>
        <v>57776000</v>
      </c>
      <c r="K17" s="651"/>
      <c r="L17" s="50">
        <f t="shared" si="0"/>
        <v>0</v>
      </c>
      <c r="M17" s="51">
        <f>SUM(M12:M16)</f>
        <v>98154800</v>
      </c>
      <c r="N17" s="16"/>
      <c r="R17" s="65"/>
    </row>
    <row r="18" spans="2:18" ht="23.25" customHeight="1">
      <c r="B18" s="594" t="s">
        <v>44</v>
      </c>
      <c r="C18" s="595"/>
      <c r="D18" s="596" t="s">
        <v>270</v>
      </c>
      <c r="E18" s="597"/>
      <c r="F18" s="597"/>
      <c r="G18" s="597"/>
      <c r="H18" s="597"/>
      <c r="I18" s="597"/>
      <c r="J18" s="597"/>
      <c r="K18" s="597"/>
      <c r="L18" s="597"/>
      <c r="M18" s="598"/>
      <c r="N18" s="35"/>
      <c r="R18" s="65"/>
    </row>
    <row r="19" spans="2:18" ht="20.25" customHeight="1">
      <c r="B19" s="599" t="s">
        <v>45</v>
      </c>
      <c r="C19" s="619"/>
      <c r="D19" s="40" t="s">
        <v>46</v>
      </c>
      <c r="E19" s="41">
        <v>1346</v>
      </c>
      <c r="F19" s="40">
        <v>6800</v>
      </c>
      <c r="G19" s="601">
        <f>E19*F19</f>
        <v>9152800</v>
      </c>
      <c r="H19" s="602"/>
      <c r="I19" s="42">
        <v>8000</v>
      </c>
      <c r="J19" s="656">
        <f>E19*I19</f>
        <v>10768000</v>
      </c>
      <c r="K19" s="657"/>
      <c r="L19" s="42">
        <f>F19+I19</f>
        <v>14800</v>
      </c>
      <c r="M19" s="43">
        <f>E19*L19</f>
        <v>19920800</v>
      </c>
      <c r="N19" s="36" t="s">
        <v>268</v>
      </c>
      <c r="R19" s="65"/>
    </row>
    <row r="20" spans="2:18" ht="20.25" customHeight="1">
      <c r="B20" s="610" t="s">
        <v>271</v>
      </c>
      <c r="C20" s="614"/>
      <c r="D20" s="44" t="s">
        <v>46</v>
      </c>
      <c r="E20" s="45">
        <v>1346</v>
      </c>
      <c r="F20" s="44">
        <v>2000</v>
      </c>
      <c r="G20" s="612">
        <f>E20*F20</f>
        <v>2692000</v>
      </c>
      <c r="H20" s="613"/>
      <c r="I20" s="46">
        <v>1000</v>
      </c>
      <c r="J20" s="652">
        <f>E20*I20</f>
        <v>1346000</v>
      </c>
      <c r="K20" s="653"/>
      <c r="L20" s="46">
        <f>F20+I20</f>
        <v>3000</v>
      </c>
      <c r="M20" s="47">
        <f>E20*L20</f>
        <v>4038000</v>
      </c>
      <c r="N20" s="15" t="s">
        <v>269</v>
      </c>
    </row>
    <row r="21" spans="2:18" ht="20.25" customHeight="1">
      <c r="B21" s="610"/>
      <c r="C21" s="614"/>
      <c r="D21" s="44"/>
      <c r="E21" s="45"/>
      <c r="F21" s="44"/>
      <c r="G21" s="612"/>
      <c r="H21" s="613"/>
      <c r="I21" s="46"/>
      <c r="J21" s="652"/>
      <c r="K21" s="653"/>
      <c r="L21" s="46"/>
      <c r="M21" s="47"/>
      <c r="N21" s="15"/>
    </row>
    <row r="22" spans="2:18" ht="20.25" customHeight="1">
      <c r="B22" s="621" t="s">
        <v>267</v>
      </c>
      <c r="C22" s="622"/>
      <c r="D22" s="17" t="s">
        <v>47</v>
      </c>
      <c r="E22" s="48"/>
      <c r="F22" s="17">
        <v>40</v>
      </c>
      <c r="G22" s="608"/>
      <c r="H22" s="609"/>
      <c r="I22" s="52"/>
      <c r="J22" s="654">
        <f>E22*I22</f>
        <v>0</v>
      </c>
      <c r="K22" s="655"/>
      <c r="L22" s="52"/>
      <c r="M22" s="53"/>
      <c r="N22" s="37" t="s">
        <v>48</v>
      </c>
      <c r="O22" s="34"/>
    </row>
    <row r="23" spans="2:18" ht="24.75" customHeight="1">
      <c r="B23" s="615" t="s">
        <v>43</v>
      </c>
      <c r="C23" s="616"/>
      <c r="D23" s="66"/>
      <c r="E23" s="49">
        <f>E19</f>
        <v>1346</v>
      </c>
      <c r="F23" s="66">
        <f>G23/E23</f>
        <v>8800</v>
      </c>
      <c r="G23" s="617">
        <f>SUM(G19:G22)</f>
        <v>11844800</v>
      </c>
      <c r="H23" s="618"/>
      <c r="I23" s="50">
        <f>SUM(I19:I22)</f>
        <v>9000</v>
      </c>
      <c r="J23" s="650">
        <f>SUM(J19:J22)</f>
        <v>12114000</v>
      </c>
      <c r="K23" s="651"/>
      <c r="L23" s="50">
        <f>SUM(L19:L22)</f>
        <v>17800</v>
      </c>
      <c r="M23" s="51">
        <f>SUM(M19:M22)</f>
        <v>23958800</v>
      </c>
      <c r="N23" s="16"/>
    </row>
    <row r="24" spans="2:18" ht="27" customHeight="1">
      <c r="B24" s="623" t="s">
        <v>49</v>
      </c>
      <c r="C24" s="624"/>
      <c r="D24" s="625" t="s">
        <v>50</v>
      </c>
      <c r="E24" s="626"/>
      <c r="F24" s="626"/>
      <c r="G24" s="626"/>
      <c r="H24" s="626"/>
      <c r="I24" s="626"/>
      <c r="J24" s="626"/>
      <c r="K24" s="626"/>
      <c r="L24" s="626"/>
      <c r="M24" s="627"/>
      <c r="N24" s="54"/>
    </row>
    <row r="25" spans="2:18" ht="20.25" customHeight="1">
      <c r="B25" s="628" t="s">
        <v>51</v>
      </c>
      <c r="C25" s="628"/>
      <c r="D25" s="40" t="s">
        <v>52</v>
      </c>
      <c r="E25" s="41">
        <v>1</v>
      </c>
      <c r="F25" s="40">
        <v>1000000</v>
      </c>
      <c r="G25" s="620"/>
      <c r="H25" s="620"/>
      <c r="I25" s="42"/>
      <c r="J25" s="649"/>
      <c r="K25" s="649"/>
      <c r="L25" s="42"/>
      <c r="M25" s="42"/>
      <c r="N25" s="36"/>
      <c r="O25" s="345"/>
      <c r="P25" s="345"/>
      <c r="Q25" s="345"/>
      <c r="R25" s="345"/>
    </row>
    <row r="26" spans="2:18" ht="20.25" customHeight="1">
      <c r="B26" s="604" t="s">
        <v>53</v>
      </c>
      <c r="C26" s="604"/>
      <c r="D26" s="353" t="s">
        <v>54</v>
      </c>
      <c r="E26" s="68">
        <v>1</v>
      </c>
      <c r="F26" s="68">
        <v>280000</v>
      </c>
      <c r="G26" s="605"/>
      <c r="H26" s="605"/>
      <c r="I26" s="46"/>
      <c r="J26" s="644"/>
      <c r="K26" s="644"/>
      <c r="L26" s="46"/>
      <c r="M26" s="46"/>
      <c r="N26" s="69"/>
      <c r="O26" s="345"/>
      <c r="P26" s="346"/>
      <c r="Q26" s="346"/>
      <c r="R26" s="346"/>
    </row>
    <row r="27" spans="2:18" ht="20.25" customHeight="1">
      <c r="B27" s="604" t="s">
        <v>55</v>
      </c>
      <c r="C27" s="604"/>
      <c r="D27" s="353" t="s">
        <v>56</v>
      </c>
      <c r="E27" s="68"/>
      <c r="F27" s="68">
        <v>8000</v>
      </c>
      <c r="G27" s="605"/>
      <c r="H27" s="605"/>
      <c r="I27" s="46">
        <v>8000</v>
      </c>
      <c r="J27" s="644"/>
      <c r="K27" s="644"/>
      <c r="L27" s="46"/>
      <c r="M27" s="46"/>
      <c r="N27" s="69" t="s">
        <v>57</v>
      </c>
      <c r="O27" s="347"/>
      <c r="P27" s="348"/>
      <c r="Q27" s="347"/>
      <c r="R27" s="349"/>
    </row>
    <row r="28" spans="2:18" ht="20.25" customHeight="1">
      <c r="B28" s="604" t="s">
        <v>58</v>
      </c>
      <c r="C28" s="604"/>
      <c r="D28" s="353" t="s">
        <v>56</v>
      </c>
      <c r="E28" s="68"/>
      <c r="F28" s="353">
        <v>6000</v>
      </c>
      <c r="G28" s="605"/>
      <c r="H28" s="605"/>
      <c r="I28" s="46">
        <v>8000</v>
      </c>
      <c r="J28" s="644"/>
      <c r="K28" s="644"/>
      <c r="L28" s="46"/>
      <c r="M28" s="46"/>
      <c r="N28" s="69" t="s">
        <v>57</v>
      </c>
      <c r="O28" s="345"/>
      <c r="P28" s="346"/>
      <c r="Q28" s="345"/>
      <c r="R28" s="345"/>
    </row>
    <row r="29" spans="2:18" ht="20.25" customHeight="1">
      <c r="B29" s="640" t="s">
        <v>263</v>
      </c>
      <c r="C29" s="640"/>
      <c r="D29" s="376"/>
      <c r="E29" s="377"/>
      <c r="F29" s="376"/>
      <c r="G29" s="641" t="s">
        <v>59</v>
      </c>
      <c r="H29" s="641"/>
      <c r="I29" s="378"/>
      <c r="J29" s="648"/>
      <c r="K29" s="648"/>
      <c r="L29" s="378"/>
      <c r="M29" s="378"/>
      <c r="N29" s="379"/>
      <c r="O29" s="345"/>
      <c r="P29" s="345"/>
      <c r="Q29" s="345"/>
      <c r="R29" s="345"/>
    </row>
    <row r="30" spans="2:18" ht="24.75" customHeight="1">
      <c r="B30" s="642" t="s">
        <v>60</v>
      </c>
      <c r="C30" s="642"/>
      <c r="D30" s="55"/>
      <c r="E30" s="66"/>
      <c r="F30" s="66"/>
      <c r="G30" s="643">
        <f>SUM(G25:H29)</f>
        <v>0</v>
      </c>
      <c r="H30" s="643"/>
      <c r="I30" s="50"/>
      <c r="J30" s="646">
        <f>SUM(J25:K29)</f>
        <v>0</v>
      </c>
      <c r="K30" s="646"/>
      <c r="L30" s="50"/>
      <c r="M30" s="56">
        <f>SUM(M25:M29)</f>
        <v>0</v>
      </c>
      <c r="N30" s="57"/>
      <c r="O30" s="6"/>
    </row>
    <row r="31" spans="2:18" ht="24.75" customHeight="1">
      <c r="B31" s="633" t="s">
        <v>61</v>
      </c>
      <c r="C31" s="633"/>
      <c r="D31" s="58"/>
      <c r="E31" s="59"/>
      <c r="F31" s="1"/>
      <c r="G31" s="634"/>
      <c r="H31" s="634"/>
      <c r="I31" s="18"/>
      <c r="J31" s="647"/>
      <c r="K31" s="647"/>
      <c r="L31" s="18"/>
      <c r="M31" s="60">
        <v>6600</v>
      </c>
      <c r="N31" s="19"/>
      <c r="O31" s="6"/>
    </row>
    <row r="32" spans="2:18" ht="24.75" customHeight="1">
      <c r="B32" s="635" t="s">
        <v>62</v>
      </c>
      <c r="C32" s="635"/>
      <c r="D32" s="25"/>
      <c r="E32" s="25"/>
      <c r="F32" s="26"/>
      <c r="G32" s="636">
        <f>G17+G23+G30-G31</f>
        <v>52223600</v>
      </c>
      <c r="H32" s="636"/>
      <c r="I32" s="27"/>
      <c r="J32" s="645">
        <f>J17+J23+J30</f>
        <v>69890000</v>
      </c>
      <c r="K32" s="645"/>
      <c r="L32" s="61"/>
      <c r="M32" s="33">
        <f>M17+M23+M30-M31</f>
        <v>122107000</v>
      </c>
      <c r="N32" s="62"/>
      <c r="O32" s="6"/>
    </row>
    <row r="33" spans="2:15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6"/>
    </row>
    <row r="34" spans="2:15" ht="24.75" customHeight="1">
      <c r="B34" s="637" t="s">
        <v>64</v>
      </c>
      <c r="C34" s="638"/>
      <c r="D34" s="638"/>
      <c r="E34" s="638"/>
      <c r="F34" s="638"/>
      <c r="G34" s="639"/>
      <c r="H34" s="637" t="s">
        <v>257</v>
      </c>
      <c r="I34" s="638"/>
      <c r="J34" s="638"/>
      <c r="K34" s="638"/>
      <c r="L34" s="638"/>
      <c r="M34" s="638"/>
      <c r="N34" s="639"/>
      <c r="O34" s="6"/>
    </row>
    <row r="35" spans="2:15" ht="19.5" customHeight="1">
      <c r="B35" s="637" t="s">
        <v>65</v>
      </c>
      <c r="C35" s="638"/>
      <c r="D35" s="638"/>
      <c r="E35" s="638"/>
      <c r="F35" s="638"/>
      <c r="G35" s="639"/>
      <c r="H35" s="637" t="s">
        <v>258</v>
      </c>
      <c r="I35" s="638"/>
      <c r="J35" s="638"/>
      <c r="K35" s="638"/>
      <c r="L35" s="638"/>
      <c r="M35" s="638"/>
      <c r="N35" s="639"/>
    </row>
    <row r="36" spans="2:15" ht="19.5" customHeight="1">
      <c r="B36" s="70">
        <v>1</v>
      </c>
      <c r="C36" s="20" t="s">
        <v>66</v>
      </c>
      <c r="D36" s="21"/>
      <c r="E36" s="21"/>
      <c r="F36" s="21"/>
      <c r="G36" s="21"/>
      <c r="H36" s="70">
        <v>1</v>
      </c>
      <c r="I36" s="20" t="s">
        <v>66</v>
      </c>
      <c r="J36" s="21"/>
      <c r="K36" s="21"/>
      <c r="L36" s="21"/>
      <c r="M36" s="21"/>
      <c r="N36" s="24"/>
    </row>
    <row r="37" spans="2:15" ht="19.5" customHeight="1">
      <c r="B37" s="547">
        <v>2</v>
      </c>
      <c r="C37" s="548" t="s">
        <v>68</v>
      </c>
      <c r="D37" s="549"/>
      <c r="E37" s="549"/>
      <c r="F37" s="549"/>
      <c r="G37" s="549"/>
      <c r="H37" s="547">
        <v>2</v>
      </c>
      <c r="I37" s="548" t="s">
        <v>67</v>
      </c>
      <c r="J37" s="549"/>
      <c r="K37" s="549"/>
      <c r="L37" s="549"/>
      <c r="M37" s="549"/>
      <c r="N37" s="550"/>
    </row>
    <row r="38" spans="2:15" ht="19.5" customHeight="1">
      <c r="B38" s="22">
        <v>3</v>
      </c>
      <c r="C38" s="63" t="s">
        <v>70</v>
      </c>
      <c r="D38" s="23"/>
      <c r="E38" s="23"/>
      <c r="F38" s="23"/>
      <c r="G38" s="23"/>
      <c r="H38" s="22">
        <v>3</v>
      </c>
      <c r="I38" s="63" t="s">
        <v>69</v>
      </c>
      <c r="J38" s="23"/>
      <c r="K38" s="23"/>
      <c r="L38" s="23"/>
      <c r="M38" s="23"/>
      <c r="N38" s="24"/>
    </row>
    <row r="39" spans="2:15" ht="19.5" customHeight="1">
      <c r="B39" s="22">
        <v>4</v>
      </c>
      <c r="C39" s="63" t="s">
        <v>265</v>
      </c>
      <c r="D39" s="23"/>
      <c r="E39" s="23"/>
      <c r="F39" s="23"/>
      <c r="G39" s="23"/>
      <c r="H39" s="22">
        <v>4</v>
      </c>
      <c r="I39" s="63" t="s">
        <v>266</v>
      </c>
      <c r="J39" s="23"/>
      <c r="K39" s="23"/>
      <c r="L39" s="23"/>
      <c r="M39" s="23"/>
      <c r="N39" s="24"/>
    </row>
    <row r="40" spans="2:15" ht="19.5" customHeight="1">
      <c r="B40" s="22">
        <v>5</v>
      </c>
      <c r="C40" s="63" t="s">
        <v>72</v>
      </c>
      <c r="D40" s="32"/>
      <c r="E40" s="32"/>
      <c r="F40" s="32"/>
      <c r="G40" s="32"/>
      <c r="H40" s="22">
        <v>5</v>
      </c>
      <c r="I40" s="63" t="s">
        <v>71</v>
      </c>
      <c r="J40" s="32"/>
      <c r="K40" s="32"/>
      <c r="L40" s="32"/>
      <c r="M40" s="32"/>
      <c r="N40" s="24"/>
    </row>
    <row r="41" spans="2:15" ht="19.5" customHeight="1">
      <c r="B41" s="22">
        <v>6</v>
      </c>
      <c r="C41" s="63" t="s">
        <v>74</v>
      </c>
      <c r="D41" s="32"/>
      <c r="E41" s="32"/>
      <c r="F41" s="32"/>
      <c r="G41" s="32"/>
      <c r="H41" s="22">
        <v>6</v>
      </c>
      <c r="I41" s="63" t="s">
        <v>73</v>
      </c>
      <c r="J41" s="32"/>
      <c r="K41" s="32"/>
      <c r="L41" s="32"/>
      <c r="M41" s="32"/>
      <c r="N41" s="24"/>
    </row>
    <row r="42" spans="2:15" ht="19.5" customHeight="1">
      <c r="B42" s="547">
        <v>7</v>
      </c>
      <c r="C42" s="548" t="s">
        <v>75</v>
      </c>
      <c r="D42" s="549"/>
      <c r="E42" s="549"/>
      <c r="F42" s="549"/>
      <c r="G42" s="549"/>
      <c r="H42" s="547">
        <v>7</v>
      </c>
      <c r="I42" s="548" t="s">
        <v>75</v>
      </c>
      <c r="J42" s="549"/>
      <c r="K42" s="549"/>
      <c r="L42" s="549"/>
      <c r="M42" s="549"/>
      <c r="N42" s="550"/>
    </row>
    <row r="43" spans="2:15" ht="19.5" customHeight="1">
      <c r="B43" s="22">
        <v>8</v>
      </c>
      <c r="C43" s="63" t="s">
        <v>77</v>
      </c>
      <c r="D43" s="23"/>
      <c r="E43" s="63"/>
      <c r="F43" s="63"/>
      <c r="G43" s="63"/>
      <c r="H43" s="22">
        <v>8</v>
      </c>
      <c r="I43" s="63" t="s">
        <v>76</v>
      </c>
      <c r="J43" s="32"/>
      <c r="K43" s="32"/>
      <c r="L43" s="32"/>
      <c r="M43" s="32"/>
      <c r="N43" s="24"/>
    </row>
    <row r="44" spans="2:15" ht="19.5" customHeight="1">
      <c r="B44" s="22">
        <v>9</v>
      </c>
      <c r="C44" s="63" t="s">
        <v>79</v>
      </c>
      <c r="D44" s="23"/>
      <c r="E44" s="63"/>
      <c r="F44" s="64"/>
      <c r="G44" s="64"/>
      <c r="H44" s="22">
        <v>9</v>
      </c>
      <c r="I44" s="63" t="s">
        <v>78</v>
      </c>
      <c r="J44" s="23"/>
      <c r="K44" s="63"/>
      <c r="L44" s="63"/>
      <c r="M44" s="63"/>
      <c r="N44" s="24"/>
    </row>
    <row r="45" spans="2:15" ht="19.5" customHeight="1">
      <c r="B45" s="547">
        <v>10</v>
      </c>
      <c r="C45" s="548" t="s">
        <v>280</v>
      </c>
      <c r="D45" s="551"/>
      <c r="E45" s="548"/>
      <c r="F45" s="552"/>
      <c r="G45" s="552"/>
      <c r="H45" s="547">
        <v>10</v>
      </c>
      <c r="I45" s="548" t="s">
        <v>80</v>
      </c>
      <c r="J45" s="551"/>
      <c r="K45" s="548"/>
      <c r="L45" s="552"/>
      <c r="M45" s="552"/>
      <c r="N45" s="550"/>
    </row>
    <row r="46" spans="2:15" ht="19.5" customHeight="1">
      <c r="B46" s="553">
        <v>11</v>
      </c>
      <c r="C46" s="97" t="s">
        <v>82</v>
      </c>
      <c r="D46" s="554"/>
      <c r="E46" s="97"/>
      <c r="F46" s="555"/>
      <c r="G46" s="555"/>
      <c r="H46" s="553">
        <v>11</v>
      </c>
      <c r="I46" s="97" t="s">
        <v>82</v>
      </c>
      <c r="J46" s="554"/>
      <c r="K46" s="97"/>
      <c r="L46" s="555"/>
      <c r="M46" s="555"/>
      <c r="N46" s="556"/>
    </row>
    <row r="47" spans="2:15" ht="14.25" customHeight="1">
      <c r="B47" s="9"/>
      <c r="C47" s="9"/>
      <c r="D47" s="9"/>
      <c r="E47" s="9"/>
      <c r="F47" s="9"/>
      <c r="G47" s="9"/>
      <c r="H47" s="9"/>
      <c r="I47" s="9"/>
      <c r="J47" s="9"/>
      <c r="K47" s="9"/>
      <c r="L47" s="629" t="s">
        <v>83</v>
      </c>
      <c r="M47" s="629"/>
      <c r="N47" s="629"/>
    </row>
    <row r="48" spans="2:15" ht="16.5">
      <c r="L48" s="630" t="s">
        <v>84</v>
      </c>
      <c r="M48" s="631"/>
      <c r="N48" s="632"/>
    </row>
  </sheetData>
  <mergeCells count="88">
    <mergeCell ref="L48:N48"/>
    <mergeCell ref="B8:C8"/>
    <mergeCell ref="E8:H8"/>
    <mergeCell ref="J3:M3"/>
    <mergeCell ref="N3:N6"/>
    <mergeCell ref="J4:K4"/>
    <mergeCell ref="C5:E5"/>
    <mergeCell ref="E9:E10"/>
    <mergeCell ref="F9:H9"/>
    <mergeCell ref="I9:K9"/>
    <mergeCell ref="K8:L8"/>
    <mergeCell ref="B11:C11"/>
    <mergeCell ref="D11:M11"/>
    <mergeCell ref="B12:C12"/>
    <mergeCell ref="G12:H12"/>
    <mergeCell ref="J12:K12"/>
    <mergeCell ref="B1:N1"/>
    <mergeCell ref="C3:E3"/>
    <mergeCell ref="C4:E4"/>
    <mergeCell ref="N9:N10"/>
    <mergeCell ref="G10:H10"/>
    <mergeCell ref="J10:K10"/>
    <mergeCell ref="B9:C10"/>
    <mergeCell ref="D9:D10"/>
    <mergeCell ref="L9:M9"/>
    <mergeCell ref="B13:C13"/>
    <mergeCell ref="G13:H13"/>
    <mergeCell ref="J13:K13"/>
    <mergeCell ref="B14:C14"/>
    <mergeCell ref="G14:H14"/>
    <mergeCell ref="J14:K14"/>
    <mergeCell ref="B15:C15"/>
    <mergeCell ref="G15:H15"/>
    <mergeCell ref="J15:K15"/>
    <mergeCell ref="B16:C16"/>
    <mergeCell ref="G16:H16"/>
    <mergeCell ref="J16:K16"/>
    <mergeCell ref="B17:C17"/>
    <mergeCell ref="G17:H17"/>
    <mergeCell ref="J17:K17"/>
    <mergeCell ref="B18:C18"/>
    <mergeCell ref="D18:M18"/>
    <mergeCell ref="B19:C19"/>
    <mergeCell ref="G19:H19"/>
    <mergeCell ref="J19:K19"/>
    <mergeCell ref="B20:C20"/>
    <mergeCell ref="G20:H20"/>
    <mergeCell ref="J20:K20"/>
    <mergeCell ref="B21:C21"/>
    <mergeCell ref="G21:H21"/>
    <mergeCell ref="J21:K21"/>
    <mergeCell ref="B22:C22"/>
    <mergeCell ref="G22:H22"/>
    <mergeCell ref="J22:K22"/>
    <mergeCell ref="B23:C23"/>
    <mergeCell ref="G23:H23"/>
    <mergeCell ref="J23:K23"/>
    <mergeCell ref="B24:C24"/>
    <mergeCell ref="D24:M24"/>
    <mergeCell ref="B25:C25"/>
    <mergeCell ref="G25:H25"/>
    <mergeCell ref="J25:K25"/>
    <mergeCell ref="B26:C26"/>
    <mergeCell ref="G26:H26"/>
    <mergeCell ref="J26:K26"/>
    <mergeCell ref="J31:K31"/>
    <mergeCell ref="B28:C28"/>
    <mergeCell ref="G28:H28"/>
    <mergeCell ref="J28:K28"/>
    <mergeCell ref="B29:C29"/>
    <mergeCell ref="G29:H29"/>
    <mergeCell ref="J29:K29"/>
    <mergeCell ref="B35:G35"/>
    <mergeCell ref="B27:C27"/>
    <mergeCell ref="G27:H27"/>
    <mergeCell ref="J27:K27"/>
    <mergeCell ref="L47:N47"/>
    <mergeCell ref="B32:C32"/>
    <mergeCell ref="G32:H32"/>
    <mergeCell ref="J32:K32"/>
    <mergeCell ref="B34:G34"/>
    <mergeCell ref="H34:N34"/>
    <mergeCell ref="H35:N35"/>
    <mergeCell ref="B30:C30"/>
    <mergeCell ref="G30:H30"/>
    <mergeCell ref="J30:K30"/>
    <mergeCell ref="B31:C31"/>
    <mergeCell ref="G31:H31"/>
  </mergeCells>
  <phoneticPr fontId="54" type="noConversion"/>
  <printOptions horizontalCentered="1" verticalCentered="1"/>
  <pageMargins left="0" right="0" top="0.19685039370078741" bottom="0" header="0.35433070866141736" footer="0.11811023622047245"/>
  <pageSetup paperSize="9" scale="55" orientation="landscape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  <pageSetUpPr fitToPage="1"/>
  </sheetPr>
  <dimension ref="B1:R40"/>
  <sheetViews>
    <sheetView zoomScaleNormal="100" zoomScaleSheetLayoutView="90" workbookViewId="0">
      <selection activeCell="C37" sqref="C37"/>
    </sheetView>
  </sheetViews>
  <sheetFormatPr defaultColWidth="9" defaultRowHeight="13.5"/>
  <cols>
    <col min="1" max="1" width="9" style="2"/>
    <col min="2" max="2" width="10.625" style="2" customWidth="1"/>
    <col min="3" max="3" width="28.375" style="2" customWidth="1"/>
    <col min="4" max="4" width="9.375" style="2" customWidth="1"/>
    <col min="5" max="5" width="10.375" style="2" customWidth="1"/>
    <col min="6" max="6" width="11.25" style="2" customWidth="1"/>
    <col min="7" max="7" width="10.375" style="2" customWidth="1"/>
    <col min="8" max="8" width="7.625" style="2" customWidth="1"/>
    <col min="9" max="9" width="11.875" style="2" customWidth="1"/>
    <col min="10" max="10" width="11.625" style="2" customWidth="1"/>
    <col min="11" max="11" width="3.375" style="2" customWidth="1"/>
    <col min="12" max="12" width="12.625" style="2" customWidth="1"/>
    <col min="13" max="13" width="14.375" style="2" customWidth="1"/>
    <col min="14" max="14" width="17.125" style="2" customWidth="1"/>
    <col min="15" max="15" width="15.75" style="2" customWidth="1"/>
    <col min="16" max="18" width="9" style="2"/>
    <col min="19" max="19" width="10.75" style="2" bestFit="1" customWidth="1"/>
    <col min="20" max="16384" width="9" style="2"/>
  </cols>
  <sheetData>
    <row r="1" spans="2:18" ht="38.25" customHeight="1">
      <c r="B1" s="566" t="s">
        <v>0</v>
      </c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2:18" ht="16.5" customHeight="1">
      <c r="B2" s="3"/>
      <c r="C2" s="38"/>
      <c r="D2" s="4"/>
      <c r="E2" s="4"/>
      <c r="L2" s="28"/>
      <c r="M2" s="39"/>
    </row>
    <row r="3" spans="2:18" ht="27">
      <c r="B3" s="109" t="s">
        <v>1</v>
      </c>
      <c r="C3" s="658">
        <v>1</v>
      </c>
      <c r="D3" s="658"/>
      <c r="E3" s="574"/>
      <c r="F3" s="7"/>
      <c r="G3" s="7"/>
      <c r="H3" s="7"/>
      <c r="I3" s="105" t="s">
        <v>2</v>
      </c>
      <c r="J3" s="571" t="s">
        <v>3</v>
      </c>
      <c r="K3" s="571"/>
      <c r="L3" s="571"/>
      <c r="M3" s="571"/>
      <c r="N3" s="568"/>
    </row>
    <row r="4" spans="2:18" ht="20.25" customHeight="1">
      <c r="B4" s="110" t="s">
        <v>4</v>
      </c>
      <c r="C4" s="659">
        <v>1</v>
      </c>
      <c r="D4" s="659"/>
      <c r="E4" s="576"/>
      <c r="F4" s="7"/>
      <c r="G4" s="7"/>
      <c r="H4" s="7"/>
      <c r="I4" s="106" t="s">
        <v>5</v>
      </c>
      <c r="J4" s="572" t="s">
        <v>6</v>
      </c>
      <c r="K4" s="572"/>
      <c r="L4" s="106" t="s">
        <v>7</v>
      </c>
      <c r="M4" s="101" t="s">
        <v>8</v>
      </c>
      <c r="N4" s="569"/>
    </row>
    <row r="5" spans="2:18" ht="20.25" customHeight="1">
      <c r="B5" s="111" t="s">
        <v>9</v>
      </c>
      <c r="C5" s="660" t="s">
        <v>10</v>
      </c>
      <c r="D5" s="660"/>
      <c r="E5" s="578"/>
      <c r="F5" s="7"/>
      <c r="G5" s="7"/>
      <c r="H5" s="7"/>
      <c r="I5" s="106" t="s">
        <v>11</v>
      </c>
      <c r="J5" s="103" t="s">
        <v>273</v>
      </c>
      <c r="K5" s="103"/>
      <c r="L5" s="103"/>
      <c r="M5" s="103"/>
      <c r="N5" s="569"/>
    </row>
    <row r="6" spans="2:18" ht="20.25" customHeight="1">
      <c r="B6" s="7"/>
      <c r="C6" s="7"/>
      <c r="D6" s="7"/>
      <c r="E6" s="7"/>
      <c r="F6" s="7"/>
      <c r="G6" s="7"/>
      <c r="H6" s="7"/>
      <c r="I6" s="107" t="s">
        <v>13</v>
      </c>
      <c r="J6" s="104" t="s">
        <v>14</v>
      </c>
      <c r="K6" s="104"/>
      <c r="L6" s="104"/>
      <c r="M6" s="104"/>
      <c r="N6" s="570"/>
    </row>
    <row r="7" spans="2:18" ht="20.25" customHeight="1">
      <c r="B7" s="9" t="s">
        <v>15</v>
      </c>
      <c r="C7" s="8"/>
      <c r="D7" s="8"/>
      <c r="E7" s="8"/>
      <c r="F7" s="8"/>
      <c r="G7" s="9"/>
      <c r="H7" s="7"/>
      <c r="I7" s="10"/>
      <c r="J7" s="10"/>
      <c r="K7" s="11"/>
      <c r="M7" s="12" t="s">
        <v>16</v>
      </c>
      <c r="N7" s="108">
        <v>44727</v>
      </c>
    </row>
    <row r="8" spans="2:18" ht="29.25" customHeight="1">
      <c r="B8" s="582" t="s">
        <v>17</v>
      </c>
      <c r="C8" s="583"/>
      <c r="D8" s="29" t="s">
        <v>18</v>
      </c>
      <c r="E8" s="584">
        <f>K8</f>
        <v>23191600</v>
      </c>
      <c r="F8" s="584"/>
      <c r="G8" s="584"/>
      <c r="H8" s="584"/>
      <c r="I8" s="30" t="s">
        <v>19</v>
      </c>
      <c r="J8" s="30" t="s">
        <v>20</v>
      </c>
      <c r="K8" s="661">
        <f>M24</f>
        <v>23191600</v>
      </c>
      <c r="L8" s="661"/>
      <c r="M8" s="92" t="s">
        <v>21</v>
      </c>
      <c r="N8" s="93" t="s">
        <v>22</v>
      </c>
    </row>
    <row r="9" spans="2:18" ht="17.25" customHeight="1">
      <c r="B9" s="585" t="s">
        <v>23</v>
      </c>
      <c r="C9" s="586"/>
      <c r="D9" s="589" t="s">
        <v>24</v>
      </c>
      <c r="E9" s="589" t="s">
        <v>25</v>
      </c>
      <c r="F9" s="591" t="s">
        <v>26</v>
      </c>
      <c r="G9" s="592"/>
      <c r="H9" s="592"/>
      <c r="I9" s="591" t="s">
        <v>27</v>
      </c>
      <c r="J9" s="592"/>
      <c r="K9" s="603"/>
      <c r="L9" s="591" t="s">
        <v>28</v>
      </c>
      <c r="M9" s="603"/>
      <c r="N9" s="593" t="s">
        <v>29</v>
      </c>
    </row>
    <row r="10" spans="2:18" ht="17.25" customHeight="1">
      <c r="B10" s="587"/>
      <c r="C10" s="588"/>
      <c r="D10" s="590"/>
      <c r="E10" s="590"/>
      <c r="F10" s="13" t="s">
        <v>30</v>
      </c>
      <c r="G10" s="591" t="s">
        <v>31</v>
      </c>
      <c r="H10" s="592"/>
      <c r="I10" s="13" t="s">
        <v>30</v>
      </c>
      <c r="J10" s="591" t="s">
        <v>31</v>
      </c>
      <c r="K10" s="603"/>
      <c r="L10" s="13" t="s">
        <v>32</v>
      </c>
      <c r="M10" s="14" t="s">
        <v>33</v>
      </c>
      <c r="N10" s="593"/>
      <c r="R10" s="65"/>
    </row>
    <row r="11" spans="2:18" ht="21.75" customHeight="1">
      <c r="B11" s="594" t="s">
        <v>34</v>
      </c>
      <c r="C11" s="595"/>
      <c r="D11" s="596" t="s">
        <v>35</v>
      </c>
      <c r="E11" s="597"/>
      <c r="F11" s="597"/>
      <c r="G11" s="597"/>
      <c r="H11" s="597"/>
      <c r="I11" s="597"/>
      <c r="J11" s="597"/>
      <c r="K11" s="597"/>
      <c r="L11" s="597"/>
      <c r="M11" s="598"/>
      <c r="N11" s="35"/>
      <c r="R11" s="65"/>
    </row>
    <row r="12" spans="2:18" ht="20.25" customHeight="1">
      <c r="B12" s="599" t="s">
        <v>36</v>
      </c>
      <c r="C12" s="600"/>
      <c r="D12" s="40" t="s">
        <v>37</v>
      </c>
      <c r="E12" s="41">
        <v>1655</v>
      </c>
      <c r="F12" s="40">
        <v>2800</v>
      </c>
      <c r="G12" s="601">
        <f>E12*F12</f>
        <v>4634000</v>
      </c>
      <c r="H12" s="602"/>
      <c r="I12" s="42">
        <v>4000</v>
      </c>
      <c r="J12" s="656">
        <f>E12*I12</f>
        <v>6620000</v>
      </c>
      <c r="K12" s="657"/>
      <c r="L12" s="42">
        <f t="shared" ref="L12:L17" si="0">F12+I12</f>
        <v>6800</v>
      </c>
      <c r="M12" s="43">
        <f>E12*L12</f>
        <v>11254000</v>
      </c>
      <c r="N12" s="36" t="s">
        <v>38</v>
      </c>
      <c r="R12" s="65"/>
    </row>
    <row r="13" spans="2:18" ht="20.25" customHeight="1">
      <c r="B13" s="610" t="s">
        <v>39</v>
      </c>
      <c r="C13" s="611"/>
      <c r="D13" s="44" t="s">
        <v>37</v>
      </c>
      <c r="E13" s="45">
        <v>1650</v>
      </c>
      <c r="F13" s="45">
        <v>2800</v>
      </c>
      <c r="G13" s="612">
        <f>E13*F13</f>
        <v>4620000</v>
      </c>
      <c r="H13" s="613"/>
      <c r="I13" s="46">
        <v>4000</v>
      </c>
      <c r="J13" s="652">
        <f>E13*I13</f>
        <v>6600000</v>
      </c>
      <c r="K13" s="653"/>
      <c r="L13" s="46">
        <f t="shared" si="0"/>
        <v>6800</v>
      </c>
      <c r="M13" s="47">
        <f>E13*L13</f>
        <v>11220000</v>
      </c>
      <c r="N13" s="15" t="s">
        <v>38</v>
      </c>
      <c r="P13" s="5"/>
      <c r="R13" s="65"/>
    </row>
    <row r="14" spans="2:18" ht="20.25" customHeight="1">
      <c r="B14" s="604" t="s">
        <v>40</v>
      </c>
      <c r="C14" s="604"/>
      <c r="D14" s="67" t="s">
        <v>37</v>
      </c>
      <c r="E14" s="68">
        <v>92</v>
      </c>
      <c r="F14" s="68">
        <v>2800</v>
      </c>
      <c r="G14" s="605">
        <f>E14*F14</f>
        <v>257600</v>
      </c>
      <c r="H14" s="605"/>
      <c r="I14" s="46">
        <v>5000</v>
      </c>
      <c r="J14" s="644">
        <f>E14*I14</f>
        <v>460000</v>
      </c>
      <c r="K14" s="644"/>
      <c r="L14" s="46">
        <f t="shared" si="0"/>
        <v>7800</v>
      </c>
      <c r="M14" s="46">
        <f>E14*L14</f>
        <v>717600</v>
      </c>
      <c r="N14" s="69" t="s">
        <v>41</v>
      </c>
      <c r="P14" s="5"/>
      <c r="R14" s="65"/>
    </row>
    <row r="15" spans="2:18" ht="20.25" customHeight="1">
      <c r="B15" s="604"/>
      <c r="C15" s="604"/>
      <c r="D15" s="67"/>
      <c r="E15" s="68"/>
      <c r="F15" s="68"/>
      <c r="G15" s="605">
        <f>E15*F15</f>
        <v>0</v>
      </c>
      <c r="H15" s="605"/>
      <c r="I15" s="46"/>
      <c r="J15" s="644">
        <f>E15*I15</f>
        <v>0</v>
      </c>
      <c r="K15" s="644"/>
      <c r="L15" s="46">
        <f t="shared" si="0"/>
        <v>0</v>
      </c>
      <c r="M15" s="46">
        <f>E15*L15</f>
        <v>0</v>
      </c>
      <c r="N15" s="69"/>
      <c r="P15" s="5"/>
      <c r="R15" s="65"/>
    </row>
    <row r="16" spans="2:18" ht="20.25" customHeight="1">
      <c r="B16" s="606" t="s">
        <v>42</v>
      </c>
      <c r="C16" s="607"/>
      <c r="D16" s="17" t="s">
        <v>264</v>
      </c>
      <c r="E16" s="48"/>
      <c r="F16" s="17">
        <v>30</v>
      </c>
      <c r="G16" s="608"/>
      <c r="H16" s="609"/>
      <c r="I16" s="52"/>
      <c r="J16" s="654">
        <f>E16*I16</f>
        <v>0</v>
      </c>
      <c r="K16" s="655"/>
      <c r="L16" s="52"/>
      <c r="M16" s="53"/>
      <c r="N16" s="37" t="s">
        <v>48</v>
      </c>
      <c r="R16" s="65"/>
    </row>
    <row r="17" spans="2:18" ht="24.75" customHeight="1">
      <c r="B17" s="615" t="s">
        <v>43</v>
      </c>
      <c r="C17" s="616"/>
      <c r="D17" s="66"/>
      <c r="E17" s="49">
        <f>SUM(E12:E16)</f>
        <v>3397</v>
      </c>
      <c r="F17" s="66"/>
      <c r="G17" s="617">
        <f>SUM(G12:G16)</f>
        <v>9511600</v>
      </c>
      <c r="H17" s="618"/>
      <c r="I17" s="50"/>
      <c r="J17" s="650">
        <f>SUM(J12:J16)</f>
        <v>13680000</v>
      </c>
      <c r="K17" s="651"/>
      <c r="L17" s="50">
        <f t="shared" si="0"/>
        <v>0</v>
      </c>
      <c r="M17" s="51">
        <f>SUM(M12:M16)</f>
        <v>23191600</v>
      </c>
      <c r="N17" s="16"/>
      <c r="R17" s="65"/>
    </row>
    <row r="18" spans="2:18" ht="27" customHeight="1">
      <c r="B18" s="623" t="s">
        <v>260</v>
      </c>
      <c r="C18" s="624"/>
      <c r="D18" s="625" t="s">
        <v>50</v>
      </c>
      <c r="E18" s="626"/>
      <c r="F18" s="626"/>
      <c r="G18" s="626"/>
      <c r="H18" s="626"/>
      <c r="I18" s="626"/>
      <c r="J18" s="626"/>
      <c r="K18" s="626"/>
      <c r="L18" s="626"/>
      <c r="M18" s="627"/>
      <c r="N18" s="54"/>
    </row>
    <row r="19" spans="2:18" ht="20.25" customHeight="1">
      <c r="B19" s="628" t="s">
        <v>51</v>
      </c>
      <c r="C19" s="628"/>
      <c r="D19" s="40" t="s">
        <v>52</v>
      </c>
      <c r="E19" s="41">
        <v>1</v>
      </c>
      <c r="F19" s="40">
        <v>1000000</v>
      </c>
      <c r="G19" s="620"/>
      <c r="H19" s="620"/>
      <c r="I19" s="42"/>
      <c r="J19" s="649"/>
      <c r="K19" s="649"/>
      <c r="L19" s="42"/>
      <c r="M19" s="42"/>
      <c r="N19" s="36"/>
    </row>
    <row r="20" spans="2:18" ht="20.25" customHeight="1">
      <c r="B20" s="604" t="s">
        <v>53</v>
      </c>
      <c r="C20" s="604"/>
      <c r="D20" s="353" t="s">
        <v>54</v>
      </c>
      <c r="E20" s="68">
        <v>1</v>
      </c>
      <c r="F20" s="68">
        <v>280000</v>
      </c>
      <c r="G20" s="605"/>
      <c r="H20" s="605"/>
      <c r="I20" s="46"/>
      <c r="J20" s="644"/>
      <c r="K20" s="644"/>
      <c r="L20" s="46"/>
      <c r="M20" s="46"/>
      <c r="N20" s="69"/>
      <c r="P20" s="5"/>
    </row>
    <row r="21" spans="2:18" ht="20.25" customHeight="1">
      <c r="B21" s="640" t="s">
        <v>261</v>
      </c>
      <c r="C21" s="640"/>
      <c r="D21" s="376"/>
      <c r="E21" s="377"/>
      <c r="F21" s="376"/>
      <c r="G21" s="641" t="s">
        <v>59</v>
      </c>
      <c r="H21" s="641"/>
      <c r="I21" s="378"/>
      <c r="J21" s="648"/>
      <c r="K21" s="648"/>
      <c r="L21" s="378"/>
      <c r="M21" s="378"/>
      <c r="N21" s="379"/>
    </row>
    <row r="22" spans="2:18" ht="24.75" customHeight="1">
      <c r="B22" s="642" t="s">
        <v>60</v>
      </c>
      <c r="C22" s="642"/>
      <c r="D22" s="55"/>
      <c r="E22" s="66"/>
      <c r="F22" s="66"/>
      <c r="G22" s="643">
        <f>SUM(G19:H21)</f>
        <v>0</v>
      </c>
      <c r="H22" s="643"/>
      <c r="I22" s="50"/>
      <c r="J22" s="646">
        <f>SUM(J19:K21)</f>
        <v>0</v>
      </c>
      <c r="K22" s="646"/>
      <c r="L22" s="50"/>
      <c r="M22" s="56">
        <f>SUM(M19:M21)</f>
        <v>0</v>
      </c>
      <c r="N22" s="57"/>
      <c r="O22" s="6"/>
    </row>
    <row r="23" spans="2:18" ht="24.75" customHeight="1">
      <c r="B23" s="633" t="s">
        <v>61</v>
      </c>
      <c r="C23" s="633"/>
      <c r="D23" s="58"/>
      <c r="E23" s="59"/>
      <c r="F23" s="1"/>
      <c r="G23" s="634"/>
      <c r="H23" s="634"/>
      <c r="I23" s="18"/>
      <c r="J23" s="647"/>
      <c r="K23" s="647"/>
      <c r="L23" s="18"/>
      <c r="M23" s="60"/>
      <c r="N23" s="19"/>
      <c r="O23" s="6"/>
    </row>
    <row r="24" spans="2:18" ht="24.75" customHeight="1">
      <c r="B24" s="635" t="s">
        <v>62</v>
      </c>
      <c r="C24" s="635"/>
      <c r="D24" s="25"/>
      <c r="E24" s="25"/>
      <c r="F24" s="26"/>
      <c r="G24" s="665">
        <f>G17+G22</f>
        <v>9511600</v>
      </c>
      <c r="H24" s="666"/>
      <c r="I24" s="27"/>
      <c r="J24" s="667">
        <f>J17+J22</f>
        <v>13680000</v>
      </c>
      <c r="K24" s="668"/>
      <c r="L24" s="61"/>
      <c r="M24" s="33">
        <f>G24+J24-M23</f>
        <v>23191600</v>
      </c>
      <c r="N24" s="62"/>
      <c r="O24" s="6"/>
    </row>
    <row r="25" spans="2:18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6"/>
    </row>
    <row r="26" spans="2:18" ht="24.75" customHeight="1">
      <c r="B26" s="662" t="s">
        <v>64</v>
      </c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4"/>
      <c r="O26" s="6"/>
    </row>
    <row r="27" spans="2:18" ht="19.5" customHeight="1">
      <c r="B27" s="637" t="s">
        <v>65</v>
      </c>
      <c r="C27" s="638"/>
      <c r="D27" s="638"/>
      <c r="E27" s="638"/>
      <c r="F27" s="638"/>
      <c r="G27" s="638"/>
      <c r="H27" s="638"/>
      <c r="I27" s="638"/>
      <c r="J27" s="638"/>
      <c r="K27" s="638"/>
      <c r="L27" s="638"/>
      <c r="M27" s="638"/>
      <c r="N27" s="639"/>
    </row>
    <row r="28" spans="2:18" ht="19.5" customHeight="1">
      <c r="B28" s="22">
        <v>1</v>
      </c>
      <c r="C28" s="63" t="s">
        <v>66</v>
      </c>
      <c r="D28" s="23"/>
      <c r="E28" s="23"/>
      <c r="F28" s="23"/>
      <c r="G28" s="23"/>
      <c r="H28" s="7"/>
      <c r="I28" s="63"/>
      <c r="J28" s="23"/>
      <c r="K28" s="23"/>
      <c r="L28" s="23"/>
      <c r="M28" s="23"/>
      <c r="N28" s="24"/>
    </row>
    <row r="29" spans="2:18" ht="19.5" customHeight="1">
      <c r="B29" s="547">
        <v>2</v>
      </c>
      <c r="C29" s="548" t="s">
        <v>68</v>
      </c>
      <c r="D29" s="549"/>
      <c r="E29" s="549"/>
      <c r="F29" s="549"/>
      <c r="G29" s="549"/>
      <c r="H29" s="557"/>
      <c r="I29" s="548"/>
      <c r="J29" s="549"/>
      <c r="K29" s="549"/>
      <c r="L29" s="549"/>
      <c r="M29" s="549"/>
      <c r="N29" s="550"/>
    </row>
    <row r="30" spans="2:18" ht="19.5" customHeight="1">
      <c r="B30" s="22">
        <v>3</v>
      </c>
      <c r="C30" s="63" t="s">
        <v>70</v>
      </c>
      <c r="D30" s="23"/>
      <c r="E30" s="23"/>
      <c r="F30" s="23"/>
      <c r="G30" s="23"/>
      <c r="H30" s="7"/>
      <c r="I30" s="63"/>
      <c r="J30" s="23"/>
      <c r="K30" s="23"/>
      <c r="L30" s="23"/>
      <c r="M30" s="23"/>
      <c r="N30" s="24"/>
    </row>
    <row r="31" spans="2:18" ht="19.5" customHeight="1">
      <c r="B31" s="22">
        <v>4</v>
      </c>
      <c r="C31" s="63" t="s">
        <v>265</v>
      </c>
      <c r="D31" s="23"/>
      <c r="E31" s="23"/>
      <c r="F31" s="23"/>
      <c r="G31" s="23"/>
      <c r="H31" s="7"/>
      <c r="I31" s="63"/>
      <c r="J31" s="23"/>
      <c r="K31" s="23"/>
      <c r="L31" s="23"/>
      <c r="M31" s="23"/>
      <c r="N31" s="24"/>
    </row>
    <row r="32" spans="2:18" ht="19.5" customHeight="1">
      <c r="B32" s="22">
        <v>5</v>
      </c>
      <c r="C32" s="63" t="s">
        <v>72</v>
      </c>
      <c r="D32" s="32"/>
      <c r="E32" s="32"/>
      <c r="F32" s="32"/>
      <c r="G32" s="32"/>
      <c r="H32" s="7"/>
      <c r="I32" s="63"/>
      <c r="J32" s="32"/>
      <c r="K32" s="32"/>
      <c r="L32" s="32"/>
      <c r="M32" s="32"/>
      <c r="N32" s="24"/>
    </row>
    <row r="33" spans="2:14" ht="19.5" customHeight="1">
      <c r="B33" s="22">
        <v>6</v>
      </c>
      <c r="C33" s="63" t="s">
        <v>74</v>
      </c>
      <c r="D33" s="32"/>
      <c r="E33" s="32"/>
      <c r="F33" s="32"/>
      <c r="G33" s="32"/>
      <c r="H33" s="7"/>
      <c r="I33" s="63"/>
      <c r="J33" s="32"/>
      <c r="K33" s="32"/>
      <c r="L33" s="32"/>
      <c r="M33" s="32"/>
      <c r="N33" s="24"/>
    </row>
    <row r="34" spans="2:14" ht="19.5" customHeight="1">
      <c r="B34" s="547">
        <v>7</v>
      </c>
      <c r="C34" s="548" t="s">
        <v>75</v>
      </c>
      <c r="D34" s="549"/>
      <c r="E34" s="549"/>
      <c r="F34" s="549"/>
      <c r="G34" s="549"/>
      <c r="H34" s="557"/>
      <c r="I34" s="548"/>
      <c r="J34" s="549"/>
      <c r="K34" s="549"/>
      <c r="L34" s="549"/>
      <c r="M34" s="549"/>
      <c r="N34" s="550"/>
    </row>
    <row r="35" spans="2:14" ht="19.5" customHeight="1">
      <c r="B35" s="22">
        <v>8</v>
      </c>
      <c r="C35" s="63" t="s">
        <v>77</v>
      </c>
      <c r="D35" s="23"/>
      <c r="E35" s="63"/>
      <c r="F35" s="63"/>
      <c r="G35" s="63"/>
      <c r="H35" s="7"/>
      <c r="I35" s="63"/>
      <c r="J35" s="23"/>
      <c r="K35" s="63"/>
      <c r="L35" s="63"/>
      <c r="M35" s="63"/>
      <c r="N35" s="24"/>
    </row>
    <row r="36" spans="2:14" ht="19.5" customHeight="1">
      <c r="B36" s="22">
        <v>9</v>
      </c>
      <c r="C36" s="63" t="s">
        <v>79</v>
      </c>
      <c r="D36" s="23"/>
      <c r="E36" s="63"/>
      <c r="F36" s="64"/>
      <c r="G36" s="64"/>
      <c r="H36" s="7"/>
      <c r="I36" s="63"/>
      <c r="J36" s="23"/>
      <c r="K36" s="63"/>
      <c r="L36" s="64"/>
      <c r="M36" s="64"/>
      <c r="N36" s="24"/>
    </row>
    <row r="37" spans="2:14" ht="19.5" customHeight="1">
      <c r="B37" s="547">
        <v>10</v>
      </c>
      <c r="C37" s="548" t="s">
        <v>281</v>
      </c>
      <c r="D37" s="551"/>
      <c r="E37" s="548"/>
      <c r="F37" s="552"/>
      <c r="G37" s="552"/>
      <c r="H37" s="557"/>
      <c r="I37" s="548"/>
      <c r="J37" s="551"/>
      <c r="K37" s="548"/>
      <c r="L37" s="552"/>
      <c r="M37" s="552"/>
      <c r="N37" s="550"/>
    </row>
    <row r="38" spans="2:14" ht="19.5" customHeight="1">
      <c r="B38" s="553">
        <v>11</v>
      </c>
      <c r="C38" s="97" t="s">
        <v>82</v>
      </c>
      <c r="D38" s="554"/>
      <c r="E38" s="97"/>
      <c r="F38" s="555"/>
      <c r="G38" s="555"/>
      <c r="H38" s="558"/>
      <c r="I38" s="97"/>
      <c r="J38" s="554"/>
      <c r="K38" s="97"/>
      <c r="L38" s="555"/>
      <c r="M38" s="555"/>
      <c r="N38" s="556"/>
    </row>
    <row r="39" spans="2:14" ht="14.2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629" t="s">
        <v>83</v>
      </c>
      <c r="M39" s="629"/>
      <c r="N39" s="629"/>
    </row>
    <row r="40" spans="2:14" ht="16.5">
      <c r="L40" s="630" t="s">
        <v>84</v>
      </c>
      <c r="M40" s="631"/>
      <c r="N40" s="632"/>
    </row>
  </sheetData>
  <mergeCells count="63">
    <mergeCell ref="B1:N1"/>
    <mergeCell ref="C3:E3"/>
    <mergeCell ref="J3:M3"/>
    <mergeCell ref="N3:N6"/>
    <mergeCell ref="C4:E4"/>
    <mergeCell ref="J4:K4"/>
    <mergeCell ref="C5:E5"/>
    <mergeCell ref="B12:C12"/>
    <mergeCell ref="G12:H12"/>
    <mergeCell ref="J12:K12"/>
    <mergeCell ref="B8:C8"/>
    <mergeCell ref="E8:H8"/>
    <mergeCell ref="K8:L8"/>
    <mergeCell ref="B9:C10"/>
    <mergeCell ref="D9:D10"/>
    <mergeCell ref="E9:E10"/>
    <mergeCell ref="F9:H9"/>
    <mergeCell ref="I9:K9"/>
    <mergeCell ref="L9:M9"/>
    <mergeCell ref="N9:N10"/>
    <mergeCell ref="G10:H10"/>
    <mergeCell ref="J10:K10"/>
    <mergeCell ref="B11:C11"/>
    <mergeCell ref="D11:M11"/>
    <mergeCell ref="B13:C13"/>
    <mergeCell ref="G13:H13"/>
    <mergeCell ref="J13:K13"/>
    <mergeCell ref="B14:C14"/>
    <mergeCell ref="G14:H14"/>
    <mergeCell ref="J14:K14"/>
    <mergeCell ref="B15:C15"/>
    <mergeCell ref="G15:H15"/>
    <mergeCell ref="J15:K15"/>
    <mergeCell ref="B16:C16"/>
    <mergeCell ref="G16:H16"/>
    <mergeCell ref="J16:K16"/>
    <mergeCell ref="B17:C17"/>
    <mergeCell ref="G17:H17"/>
    <mergeCell ref="J17:K17"/>
    <mergeCell ref="B20:C20"/>
    <mergeCell ref="G20:H20"/>
    <mergeCell ref="J20:K20"/>
    <mergeCell ref="B18:C18"/>
    <mergeCell ref="D18:M18"/>
    <mergeCell ref="B19:C19"/>
    <mergeCell ref="G19:H19"/>
    <mergeCell ref="J19:K19"/>
    <mergeCell ref="B21:C21"/>
    <mergeCell ref="G21:H21"/>
    <mergeCell ref="J21:K21"/>
    <mergeCell ref="B22:C22"/>
    <mergeCell ref="G22:H22"/>
    <mergeCell ref="J22:K22"/>
    <mergeCell ref="B23:C23"/>
    <mergeCell ref="G23:H23"/>
    <mergeCell ref="J23:K23"/>
    <mergeCell ref="L39:N39"/>
    <mergeCell ref="L40:N40"/>
    <mergeCell ref="B26:N26"/>
    <mergeCell ref="B27:N27"/>
    <mergeCell ref="B24:C24"/>
    <mergeCell ref="G24:H24"/>
    <mergeCell ref="J24:K24"/>
  </mergeCells>
  <phoneticPr fontId="78" type="noConversion"/>
  <printOptions horizontalCentered="1" verticalCentered="1"/>
  <pageMargins left="0" right="0" top="0.19685039370078741" bottom="0" header="0.35433070866141736" footer="0.11811023622047245"/>
  <pageSetup paperSize="9" scale="56" orientation="landscape" horizontalDpi="4294967293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fitToPage="1"/>
  </sheetPr>
  <dimension ref="B1:R38"/>
  <sheetViews>
    <sheetView tabSelected="1" zoomScaleNormal="100" zoomScaleSheetLayoutView="90" workbookViewId="0">
      <selection activeCell="C33" sqref="C33"/>
    </sheetView>
  </sheetViews>
  <sheetFormatPr defaultColWidth="9" defaultRowHeight="13.5"/>
  <cols>
    <col min="1" max="1" width="9" style="2"/>
    <col min="2" max="2" width="10.625" style="2" customWidth="1"/>
    <col min="3" max="3" width="28.375" style="2" customWidth="1"/>
    <col min="4" max="4" width="9.375" style="2" customWidth="1"/>
    <col min="5" max="5" width="10.375" style="2" customWidth="1"/>
    <col min="6" max="6" width="11.25" style="2" customWidth="1"/>
    <col min="7" max="7" width="10.375" style="2" customWidth="1"/>
    <col min="8" max="8" width="11.75" style="2" bestFit="1" customWidth="1"/>
    <col min="9" max="9" width="16.25" style="2" customWidth="1"/>
    <col min="10" max="10" width="11.625" style="2" customWidth="1"/>
    <col min="11" max="11" width="3.375" style="2" customWidth="1"/>
    <col min="12" max="12" width="12.625" style="2" customWidth="1"/>
    <col min="13" max="13" width="15.375" style="2" customWidth="1"/>
    <col min="14" max="14" width="17.125" style="2" customWidth="1"/>
    <col min="15" max="15" width="15.75" style="2" customWidth="1"/>
    <col min="16" max="18" width="9" style="2"/>
    <col min="19" max="19" width="10.75" style="2" bestFit="1" customWidth="1"/>
    <col min="20" max="16384" width="9" style="2"/>
  </cols>
  <sheetData>
    <row r="1" spans="2:18" ht="38.25" customHeight="1">
      <c r="B1" s="566" t="s">
        <v>0</v>
      </c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2:18" ht="9.75" customHeight="1">
      <c r="B2" s="3"/>
      <c r="C2" s="38"/>
      <c r="D2" s="4"/>
      <c r="E2" s="4"/>
      <c r="L2" s="28"/>
      <c r="M2" s="39"/>
    </row>
    <row r="3" spans="2:18" ht="27">
      <c r="B3" s="109" t="s">
        <v>1</v>
      </c>
      <c r="C3" s="658"/>
      <c r="D3" s="658"/>
      <c r="E3" s="574"/>
      <c r="F3" s="7"/>
      <c r="G3" s="7"/>
      <c r="H3" s="7"/>
      <c r="I3" s="105" t="s">
        <v>2</v>
      </c>
      <c r="J3" s="571" t="s">
        <v>3</v>
      </c>
      <c r="K3" s="571"/>
      <c r="L3" s="571"/>
      <c r="M3" s="571"/>
      <c r="N3" s="568"/>
    </row>
    <row r="4" spans="2:18" ht="16.5" customHeight="1">
      <c r="B4" s="110" t="s">
        <v>4</v>
      </c>
      <c r="C4" s="659"/>
      <c r="D4" s="659"/>
      <c r="E4" s="576"/>
      <c r="F4" s="7"/>
      <c r="G4" s="7"/>
      <c r="H4" s="7"/>
      <c r="I4" s="106" t="s">
        <v>5</v>
      </c>
      <c r="J4" s="572" t="s">
        <v>6</v>
      </c>
      <c r="K4" s="572"/>
      <c r="L4" s="106" t="s">
        <v>7</v>
      </c>
      <c r="M4" s="101" t="s">
        <v>8</v>
      </c>
      <c r="N4" s="569"/>
    </row>
    <row r="5" spans="2:18" ht="20.25" customHeight="1">
      <c r="B5" s="111" t="s">
        <v>9</v>
      </c>
      <c r="C5" s="660" t="s">
        <v>272</v>
      </c>
      <c r="D5" s="660"/>
      <c r="E5" s="578"/>
      <c r="F5" s="7"/>
      <c r="G5" s="7"/>
      <c r="H5" s="7"/>
      <c r="I5" s="106" t="s">
        <v>11</v>
      </c>
      <c r="J5" s="103" t="s">
        <v>273</v>
      </c>
      <c r="K5" s="103"/>
      <c r="L5" s="103"/>
      <c r="M5" s="103"/>
      <c r="N5" s="569"/>
    </row>
    <row r="6" spans="2:18" ht="20.25" customHeight="1">
      <c r="B6" s="7"/>
      <c r="C6" s="7"/>
      <c r="D6" s="7"/>
      <c r="E6" s="7"/>
      <c r="F6" s="7"/>
      <c r="G6" s="7"/>
      <c r="H6" s="7"/>
      <c r="I6" s="107" t="s">
        <v>13</v>
      </c>
      <c r="J6" s="104" t="s">
        <v>14</v>
      </c>
      <c r="K6" s="104"/>
      <c r="L6" s="104"/>
      <c r="M6" s="104"/>
      <c r="N6" s="570"/>
    </row>
    <row r="7" spans="2:18" ht="21" customHeight="1">
      <c r="B7" s="9" t="s">
        <v>15</v>
      </c>
      <c r="C7" s="8"/>
      <c r="D7" s="8"/>
      <c r="E7" s="8"/>
      <c r="F7" s="8"/>
      <c r="G7" s="9"/>
      <c r="H7" s="7"/>
      <c r="I7" s="10"/>
      <c r="J7" s="10"/>
      <c r="K7" s="11"/>
      <c r="M7" s="12" t="s">
        <v>16</v>
      </c>
      <c r="N7" s="108">
        <v>44727</v>
      </c>
    </row>
    <row r="8" spans="2:18" ht="29.25" customHeight="1">
      <c r="B8" s="582" t="s">
        <v>17</v>
      </c>
      <c r="C8" s="583"/>
      <c r="D8" s="29" t="s">
        <v>18</v>
      </c>
      <c r="E8" s="584">
        <f>K8</f>
        <v>149773000</v>
      </c>
      <c r="F8" s="584"/>
      <c r="G8" s="584"/>
      <c r="H8" s="584"/>
      <c r="I8" s="30" t="s">
        <v>19</v>
      </c>
      <c r="J8" s="30" t="s">
        <v>20</v>
      </c>
      <c r="K8" s="676">
        <f>M21</f>
        <v>149773000</v>
      </c>
      <c r="L8" s="676"/>
      <c r="M8" s="676"/>
      <c r="N8" s="31" t="s">
        <v>85</v>
      </c>
    </row>
    <row r="9" spans="2:18" ht="17.25" customHeight="1">
      <c r="B9" s="585" t="s">
        <v>23</v>
      </c>
      <c r="C9" s="586"/>
      <c r="D9" s="589" t="s">
        <v>24</v>
      </c>
      <c r="E9" s="589" t="s">
        <v>25</v>
      </c>
      <c r="F9" s="591" t="s">
        <v>26</v>
      </c>
      <c r="G9" s="592"/>
      <c r="H9" s="592"/>
      <c r="I9" s="591" t="s">
        <v>27</v>
      </c>
      <c r="J9" s="592"/>
      <c r="K9" s="603"/>
      <c r="L9" s="591" t="s">
        <v>28</v>
      </c>
      <c r="M9" s="603"/>
      <c r="N9" s="593" t="s">
        <v>29</v>
      </c>
    </row>
    <row r="10" spans="2:18" ht="17.25" customHeight="1">
      <c r="B10" s="587"/>
      <c r="C10" s="588"/>
      <c r="D10" s="590"/>
      <c r="E10" s="590"/>
      <c r="F10" s="13" t="s">
        <v>30</v>
      </c>
      <c r="G10" s="591" t="s">
        <v>31</v>
      </c>
      <c r="H10" s="592"/>
      <c r="I10" s="13" t="s">
        <v>30</v>
      </c>
      <c r="J10" s="591" t="s">
        <v>31</v>
      </c>
      <c r="K10" s="603"/>
      <c r="L10" s="13" t="s">
        <v>32</v>
      </c>
      <c r="M10" s="14" t="s">
        <v>33</v>
      </c>
      <c r="N10" s="593"/>
      <c r="R10" s="65"/>
    </row>
    <row r="11" spans="2:18" ht="23.25" customHeight="1">
      <c r="B11" s="594" t="s">
        <v>86</v>
      </c>
      <c r="C11" s="595"/>
      <c r="D11" s="596" t="s">
        <v>87</v>
      </c>
      <c r="E11" s="597"/>
      <c r="F11" s="597"/>
      <c r="G11" s="597"/>
      <c r="H11" s="597"/>
      <c r="I11" s="597"/>
      <c r="J11" s="597"/>
      <c r="K11" s="597"/>
      <c r="L11" s="597"/>
      <c r="M11" s="598"/>
      <c r="N11" s="35"/>
      <c r="R11" s="65"/>
    </row>
    <row r="12" spans="2:18" ht="20.25" customHeight="1">
      <c r="B12" s="599" t="s">
        <v>88</v>
      </c>
      <c r="C12" s="619"/>
      <c r="D12" s="40" t="s">
        <v>46</v>
      </c>
      <c r="E12" s="41">
        <v>11521</v>
      </c>
      <c r="F12" s="40">
        <v>3500</v>
      </c>
      <c r="G12" s="601">
        <f>E12*F12</f>
        <v>40323500</v>
      </c>
      <c r="H12" s="602"/>
      <c r="I12" s="42">
        <v>9500</v>
      </c>
      <c r="J12" s="656">
        <f>E12*I12</f>
        <v>109449500</v>
      </c>
      <c r="K12" s="657"/>
      <c r="L12" s="42">
        <f>F12+I12</f>
        <v>13000</v>
      </c>
      <c r="M12" s="43">
        <f>E12*L12</f>
        <v>149773000</v>
      </c>
      <c r="N12" s="36" t="s">
        <v>89</v>
      </c>
      <c r="R12" s="65"/>
    </row>
    <row r="13" spans="2:18" ht="20.25" customHeight="1">
      <c r="B13" s="621" t="s">
        <v>90</v>
      </c>
      <c r="C13" s="675"/>
      <c r="D13" s="17" t="s">
        <v>47</v>
      </c>
      <c r="E13" s="48"/>
      <c r="F13" s="17">
        <v>40</v>
      </c>
      <c r="G13" s="608"/>
      <c r="H13" s="609"/>
      <c r="I13" s="52"/>
      <c r="J13" s="654">
        <f>E13*I13</f>
        <v>0</v>
      </c>
      <c r="K13" s="655"/>
      <c r="L13" s="52"/>
      <c r="M13" s="53"/>
      <c r="N13" s="37" t="s">
        <v>48</v>
      </c>
      <c r="O13" s="34"/>
    </row>
    <row r="14" spans="2:18" ht="24.75" customHeight="1">
      <c r="B14" s="615" t="s">
        <v>43</v>
      </c>
      <c r="C14" s="616"/>
      <c r="D14" s="66"/>
      <c r="E14" s="49">
        <f>E12</f>
        <v>11521</v>
      </c>
      <c r="F14" s="66">
        <f>G14/E14</f>
        <v>3500</v>
      </c>
      <c r="G14" s="617">
        <f>SUM(G12:G13)</f>
        <v>40323500</v>
      </c>
      <c r="H14" s="618"/>
      <c r="I14" s="50">
        <f>SUM(I12:I13)</f>
        <v>9500</v>
      </c>
      <c r="J14" s="650">
        <f>SUM(J12:J13)</f>
        <v>109449500</v>
      </c>
      <c r="K14" s="651"/>
      <c r="L14" s="50">
        <f>SUM(L12:L13)</f>
        <v>13000</v>
      </c>
      <c r="M14" s="51">
        <f>SUM(M12:M13)</f>
        <v>149773000</v>
      </c>
      <c r="N14" s="16"/>
    </row>
    <row r="15" spans="2:18" ht="27" customHeight="1">
      <c r="B15" s="623" t="s">
        <v>91</v>
      </c>
      <c r="C15" s="624"/>
      <c r="D15" s="625" t="s">
        <v>50</v>
      </c>
      <c r="E15" s="626"/>
      <c r="F15" s="626"/>
      <c r="G15" s="626"/>
      <c r="H15" s="626"/>
      <c r="I15" s="626"/>
      <c r="J15" s="626"/>
      <c r="K15" s="626"/>
      <c r="L15" s="626"/>
      <c r="M15" s="627"/>
      <c r="N15" s="54"/>
    </row>
    <row r="16" spans="2:18" ht="20.25" customHeight="1">
      <c r="B16" s="628" t="s">
        <v>51</v>
      </c>
      <c r="C16" s="628"/>
      <c r="D16" s="40" t="s">
        <v>52</v>
      </c>
      <c r="E16" s="41">
        <v>1</v>
      </c>
      <c r="F16" s="40">
        <v>1000000</v>
      </c>
      <c r="G16" s="620"/>
      <c r="H16" s="620"/>
      <c r="I16" s="42"/>
      <c r="J16" s="649"/>
      <c r="K16" s="649"/>
      <c r="L16" s="42"/>
      <c r="M16" s="42"/>
      <c r="N16" s="36"/>
      <c r="O16" s="345"/>
    </row>
    <row r="17" spans="2:16" ht="20.25" customHeight="1">
      <c r="B17" s="604" t="s">
        <v>53</v>
      </c>
      <c r="C17" s="604"/>
      <c r="D17" s="353" t="s">
        <v>54</v>
      </c>
      <c r="E17" s="68">
        <v>1</v>
      </c>
      <c r="F17" s="68">
        <v>250000</v>
      </c>
      <c r="G17" s="605"/>
      <c r="H17" s="605"/>
      <c r="I17" s="46"/>
      <c r="J17" s="644"/>
      <c r="K17" s="644"/>
      <c r="L17" s="46"/>
      <c r="M17" s="46"/>
      <c r="N17" s="69"/>
      <c r="P17" s="5"/>
    </row>
    <row r="18" spans="2:16" ht="20.25" customHeight="1">
      <c r="B18" s="640" t="s">
        <v>261</v>
      </c>
      <c r="C18" s="640"/>
      <c r="D18" s="376"/>
      <c r="E18" s="377"/>
      <c r="F18" s="376"/>
      <c r="G18" s="641" t="s">
        <v>59</v>
      </c>
      <c r="H18" s="641"/>
      <c r="I18" s="378"/>
      <c r="J18" s="648"/>
      <c r="K18" s="648"/>
      <c r="L18" s="378"/>
      <c r="M18" s="378"/>
      <c r="N18" s="379"/>
    </row>
    <row r="19" spans="2:16" ht="24.75" customHeight="1">
      <c r="B19" s="642" t="s">
        <v>60</v>
      </c>
      <c r="C19" s="642"/>
      <c r="D19" s="55"/>
      <c r="E19" s="66"/>
      <c r="F19" s="66"/>
      <c r="G19" s="643">
        <f>SUM(G16:H18)</f>
        <v>0</v>
      </c>
      <c r="H19" s="643"/>
      <c r="I19" s="50"/>
      <c r="J19" s="646">
        <f>SUM(J16:K18)</f>
        <v>0</v>
      </c>
      <c r="K19" s="646"/>
      <c r="L19" s="50"/>
      <c r="M19" s="56">
        <f>SUM(M16:M18)</f>
        <v>0</v>
      </c>
      <c r="N19" s="57"/>
      <c r="O19" s="6"/>
    </row>
    <row r="20" spans="2:16" ht="24.75" customHeight="1">
      <c r="B20" s="633" t="s">
        <v>61</v>
      </c>
      <c r="C20" s="633"/>
      <c r="D20" s="58"/>
      <c r="E20" s="59"/>
      <c r="F20" s="1"/>
      <c r="G20" s="634"/>
      <c r="H20" s="634"/>
      <c r="I20" s="18"/>
      <c r="J20" s="647"/>
      <c r="K20" s="647"/>
      <c r="L20" s="18"/>
      <c r="M20" s="60"/>
      <c r="N20" s="19"/>
      <c r="O20" s="6"/>
    </row>
    <row r="21" spans="2:16" ht="24.75" customHeight="1">
      <c r="B21" s="635" t="s">
        <v>62</v>
      </c>
      <c r="C21" s="635"/>
      <c r="D21" s="25"/>
      <c r="E21" s="25"/>
      <c r="F21" s="26"/>
      <c r="G21" s="636">
        <f>G14</f>
        <v>40323500</v>
      </c>
      <c r="H21" s="636"/>
      <c r="I21" s="27"/>
      <c r="J21" s="645">
        <f>J14</f>
        <v>109449500</v>
      </c>
      <c r="K21" s="645"/>
      <c r="L21" s="61"/>
      <c r="M21" s="33">
        <f>G21+J21</f>
        <v>149773000</v>
      </c>
      <c r="N21" s="62"/>
      <c r="O21" s="6"/>
    </row>
    <row r="22" spans="2:16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6"/>
    </row>
    <row r="23" spans="2:16" ht="24.75" customHeight="1">
      <c r="B23" s="669" t="s">
        <v>63</v>
      </c>
      <c r="C23" s="670"/>
      <c r="D23" s="670"/>
      <c r="E23" s="670"/>
      <c r="F23" s="670"/>
      <c r="G23" s="670"/>
      <c r="H23" s="670"/>
      <c r="I23" s="670"/>
      <c r="J23" s="670"/>
      <c r="K23" s="670"/>
      <c r="L23" s="670"/>
      <c r="M23" s="670"/>
      <c r="N23" s="671"/>
      <c r="O23" s="6"/>
    </row>
    <row r="24" spans="2:16" ht="19.5" customHeight="1">
      <c r="B24" s="672" t="s">
        <v>274</v>
      </c>
      <c r="C24" s="673"/>
      <c r="D24" s="673"/>
      <c r="E24" s="673"/>
      <c r="F24" s="673"/>
      <c r="G24" s="673"/>
      <c r="H24" s="673"/>
      <c r="I24" s="673"/>
      <c r="J24" s="673"/>
      <c r="K24" s="673"/>
      <c r="L24" s="673"/>
      <c r="M24" s="673"/>
      <c r="N24" s="674"/>
    </row>
    <row r="25" spans="2:16" ht="19.5" customHeight="1">
      <c r="B25" s="70">
        <v>1</v>
      </c>
      <c r="C25" s="20" t="s">
        <v>66</v>
      </c>
      <c r="D25" s="21"/>
      <c r="E25" s="21"/>
      <c r="F25" s="21"/>
      <c r="G25" s="21"/>
      <c r="H25" s="360"/>
      <c r="I25" s="21"/>
      <c r="J25" s="21"/>
      <c r="K25" s="21"/>
      <c r="L25" s="21"/>
      <c r="M25" s="21"/>
      <c r="N25" s="361"/>
    </row>
    <row r="26" spans="2:16" ht="19.5" customHeight="1">
      <c r="B26" s="547">
        <v>2</v>
      </c>
      <c r="C26" s="561" t="s">
        <v>67</v>
      </c>
      <c r="D26" s="549"/>
      <c r="E26" s="549"/>
      <c r="F26" s="549"/>
      <c r="G26" s="549"/>
      <c r="H26" s="563"/>
      <c r="I26" s="551"/>
      <c r="J26" s="551"/>
      <c r="K26" s="551"/>
      <c r="L26" s="551"/>
      <c r="M26" s="551"/>
      <c r="N26" s="564"/>
    </row>
    <row r="27" spans="2:16" ht="19.5" customHeight="1">
      <c r="B27" s="22">
        <v>3</v>
      </c>
      <c r="C27" s="356" t="s">
        <v>69</v>
      </c>
      <c r="D27" s="23"/>
      <c r="E27" s="23"/>
      <c r="F27" s="23"/>
      <c r="G27" s="23"/>
      <c r="H27" s="362"/>
      <c r="I27" s="23"/>
      <c r="J27" s="23"/>
      <c r="K27" s="23"/>
      <c r="L27" s="23"/>
      <c r="M27" s="23"/>
      <c r="N27" s="71"/>
    </row>
    <row r="28" spans="2:16" ht="19.5" customHeight="1">
      <c r="B28" s="22">
        <v>4</v>
      </c>
      <c r="C28" s="356" t="s">
        <v>266</v>
      </c>
      <c r="D28" s="23"/>
      <c r="E28" s="23"/>
      <c r="F28" s="23"/>
      <c r="G28" s="23"/>
      <c r="H28" s="362"/>
      <c r="I28" s="23"/>
      <c r="J28" s="23"/>
      <c r="K28" s="23"/>
      <c r="L28" s="23"/>
      <c r="M28" s="23"/>
      <c r="N28" s="71"/>
    </row>
    <row r="29" spans="2:16" ht="19.5" customHeight="1">
      <c r="B29" s="22">
        <v>5</v>
      </c>
      <c r="C29" s="356" t="s">
        <v>71</v>
      </c>
      <c r="D29" s="32"/>
      <c r="E29" s="32"/>
      <c r="F29" s="32"/>
      <c r="G29" s="32"/>
      <c r="H29" s="362"/>
      <c r="I29" s="23"/>
      <c r="J29" s="23"/>
      <c r="K29" s="23"/>
      <c r="L29" s="23"/>
      <c r="M29" s="23"/>
      <c r="N29" s="71"/>
    </row>
    <row r="30" spans="2:16" ht="19.5" customHeight="1">
      <c r="B30" s="22">
        <v>6</v>
      </c>
      <c r="C30" s="356" t="s">
        <v>73</v>
      </c>
      <c r="D30" s="32"/>
      <c r="E30" s="32"/>
      <c r="F30" s="32"/>
      <c r="G30" s="32"/>
      <c r="H30" s="362"/>
      <c r="I30" s="23"/>
      <c r="J30" s="23"/>
      <c r="K30" s="23"/>
      <c r="L30" s="23"/>
      <c r="M30" s="23"/>
      <c r="N30" s="71"/>
    </row>
    <row r="31" spans="2:16" ht="19.5" customHeight="1">
      <c r="B31" s="547">
        <v>7</v>
      </c>
      <c r="C31" s="561" t="s">
        <v>75</v>
      </c>
      <c r="D31" s="549"/>
      <c r="E31" s="549"/>
      <c r="F31" s="549"/>
      <c r="G31" s="549"/>
      <c r="H31" s="563"/>
      <c r="I31" s="551"/>
      <c r="J31" s="551"/>
      <c r="K31" s="551"/>
      <c r="L31" s="551"/>
      <c r="M31" s="551"/>
      <c r="N31" s="564"/>
    </row>
    <row r="32" spans="2:16" ht="19.5" customHeight="1">
      <c r="B32" s="22">
        <v>8</v>
      </c>
      <c r="C32" s="356" t="s">
        <v>281</v>
      </c>
      <c r="D32" s="32"/>
      <c r="E32" s="32"/>
      <c r="F32" s="32"/>
      <c r="G32" s="32"/>
      <c r="H32" s="362"/>
      <c r="I32" s="23"/>
      <c r="J32" s="23"/>
      <c r="K32" s="23"/>
      <c r="L32" s="23"/>
      <c r="M32" s="23"/>
      <c r="N32" s="71"/>
    </row>
    <row r="33" spans="2:14" ht="19.5" customHeight="1">
      <c r="B33" s="22">
        <v>9</v>
      </c>
      <c r="C33" s="356" t="s">
        <v>78</v>
      </c>
      <c r="D33" s="23"/>
      <c r="E33" s="356"/>
      <c r="F33" s="356"/>
      <c r="G33" s="356"/>
      <c r="H33" s="362"/>
      <c r="I33" s="23"/>
      <c r="J33" s="23"/>
      <c r="K33" s="23"/>
      <c r="L33" s="23"/>
      <c r="M33" s="23"/>
      <c r="N33" s="71"/>
    </row>
    <row r="34" spans="2:14" ht="19.5" customHeight="1">
      <c r="B34" s="547">
        <v>10</v>
      </c>
      <c r="C34" s="561" t="s">
        <v>80</v>
      </c>
      <c r="D34" s="551"/>
      <c r="E34" s="561"/>
      <c r="F34" s="562"/>
      <c r="G34" s="562"/>
      <c r="H34" s="563"/>
      <c r="I34" s="551"/>
      <c r="J34" s="551"/>
      <c r="K34" s="551"/>
      <c r="L34" s="551"/>
      <c r="M34" s="551"/>
      <c r="N34" s="564"/>
    </row>
    <row r="35" spans="2:14" ht="14.25" customHeight="1">
      <c r="B35" s="22">
        <v>11</v>
      </c>
      <c r="C35" s="356" t="s">
        <v>81</v>
      </c>
      <c r="D35" s="23"/>
      <c r="E35" s="356"/>
      <c r="F35" s="358"/>
      <c r="G35" s="358"/>
      <c r="H35" s="362"/>
      <c r="I35" s="359"/>
      <c r="J35" s="359"/>
      <c r="K35" s="359"/>
      <c r="L35" s="363"/>
      <c r="M35" s="363"/>
      <c r="N35" s="364"/>
    </row>
    <row r="36" spans="2:14" ht="16.5">
      <c r="B36" s="553">
        <v>12</v>
      </c>
      <c r="C36" s="97" t="s">
        <v>82</v>
      </c>
      <c r="D36" s="554"/>
      <c r="E36" s="97"/>
      <c r="F36" s="555"/>
      <c r="G36" s="555"/>
      <c r="H36" s="558"/>
      <c r="I36" s="565"/>
      <c r="J36" s="565"/>
      <c r="K36" s="565"/>
      <c r="L36" s="559"/>
      <c r="M36" s="559"/>
      <c r="N36" s="560"/>
    </row>
    <row r="37" spans="2:14">
      <c r="L37" s="629" t="s">
        <v>83</v>
      </c>
      <c r="M37" s="629"/>
      <c r="N37" s="629"/>
    </row>
    <row r="38" spans="2:14" ht="16.5">
      <c r="L38" s="630" t="s">
        <v>84</v>
      </c>
      <c r="M38" s="631"/>
      <c r="N38" s="632"/>
    </row>
  </sheetData>
  <mergeCells count="54">
    <mergeCell ref="B8:C8"/>
    <mergeCell ref="E8:H8"/>
    <mergeCell ref="K8:M8"/>
    <mergeCell ref="B9:C10"/>
    <mergeCell ref="D9:D10"/>
    <mergeCell ref="E9:E10"/>
    <mergeCell ref="F9:H9"/>
    <mergeCell ref="I9:K9"/>
    <mergeCell ref="J4:K4"/>
    <mergeCell ref="J3:M3"/>
    <mergeCell ref="N3:N6"/>
    <mergeCell ref="B1:N1"/>
    <mergeCell ref="C3:E3"/>
    <mergeCell ref="C5:E5"/>
    <mergeCell ref="C4:E4"/>
    <mergeCell ref="N9:N10"/>
    <mergeCell ref="G10:H10"/>
    <mergeCell ref="J10:K10"/>
    <mergeCell ref="L9:M9"/>
    <mergeCell ref="B11:C11"/>
    <mergeCell ref="D11:M11"/>
    <mergeCell ref="B12:C12"/>
    <mergeCell ref="G12:H12"/>
    <mergeCell ref="J12:K12"/>
    <mergeCell ref="B13:C13"/>
    <mergeCell ref="G13:H13"/>
    <mergeCell ref="J13:K13"/>
    <mergeCell ref="B14:C14"/>
    <mergeCell ref="G14:H14"/>
    <mergeCell ref="J14:K14"/>
    <mergeCell ref="B15:C15"/>
    <mergeCell ref="D15:M15"/>
    <mergeCell ref="B16:C16"/>
    <mergeCell ref="G16:H16"/>
    <mergeCell ref="J16:K16"/>
    <mergeCell ref="B17:C17"/>
    <mergeCell ref="G17:H17"/>
    <mergeCell ref="J17:K17"/>
    <mergeCell ref="B18:C18"/>
    <mergeCell ref="G18:H18"/>
    <mergeCell ref="J18:K18"/>
    <mergeCell ref="B19:C19"/>
    <mergeCell ref="G19:H19"/>
    <mergeCell ref="J19:K19"/>
    <mergeCell ref="L37:N37"/>
    <mergeCell ref="L38:N38"/>
    <mergeCell ref="B20:C20"/>
    <mergeCell ref="G20:H20"/>
    <mergeCell ref="J20:K20"/>
    <mergeCell ref="B23:N23"/>
    <mergeCell ref="B24:N24"/>
    <mergeCell ref="B21:C21"/>
    <mergeCell ref="G21:H21"/>
    <mergeCell ref="J21:K21"/>
  </mergeCells>
  <phoneticPr fontId="5" type="noConversion"/>
  <printOptions horizontalCentered="1" verticalCentered="1"/>
  <pageMargins left="0" right="0" top="0.19685039370078741" bottom="0" header="0.35433070866141736" footer="0.11811023622047245"/>
  <pageSetup paperSize="9" scale="67" orientation="landscape" horizontalDpi="4294967293" vertic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A551-3AFC-4239-A400-E27031DDA20F}">
  <sheetPr>
    <tabColor theme="5" tint="-0.249977111117893"/>
    <pageSetUpPr fitToPage="1"/>
  </sheetPr>
  <dimension ref="B1:R38"/>
  <sheetViews>
    <sheetView zoomScaleNormal="100" zoomScaleSheetLayoutView="90" workbookViewId="0">
      <selection activeCell="I44" sqref="I44:I45"/>
    </sheetView>
  </sheetViews>
  <sheetFormatPr defaultColWidth="9" defaultRowHeight="13.5"/>
  <cols>
    <col min="1" max="1" width="9" style="2"/>
    <col min="2" max="2" width="10.625" style="2" customWidth="1"/>
    <col min="3" max="3" width="28.375" style="2" customWidth="1"/>
    <col min="4" max="4" width="9.375" style="2" customWidth="1"/>
    <col min="5" max="5" width="10.375" style="2" customWidth="1"/>
    <col min="6" max="6" width="11.25" style="2" customWidth="1"/>
    <col min="7" max="7" width="10.375" style="2" customWidth="1"/>
    <col min="8" max="8" width="11.75" style="2" bestFit="1" customWidth="1"/>
    <col min="9" max="9" width="16.25" style="2" customWidth="1"/>
    <col min="10" max="10" width="11.625" style="2" customWidth="1"/>
    <col min="11" max="11" width="3.375" style="2" customWidth="1"/>
    <col min="12" max="12" width="12.625" style="2" customWidth="1"/>
    <col min="13" max="13" width="15.375" style="2" customWidth="1"/>
    <col min="14" max="14" width="17.125" style="2" customWidth="1"/>
    <col min="15" max="15" width="15.75" style="2" customWidth="1"/>
    <col min="16" max="18" width="9" style="2"/>
    <col min="19" max="19" width="10.75" style="2" bestFit="1" customWidth="1"/>
    <col min="20" max="16384" width="9" style="2"/>
  </cols>
  <sheetData>
    <row r="1" spans="2:18" ht="38.25" customHeight="1">
      <c r="B1" s="566" t="s">
        <v>0</v>
      </c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2:18" ht="9.75" customHeight="1">
      <c r="B2" s="3"/>
      <c r="C2" s="38"/>
      <c r="D2" s="4"/>
      <c r="E2" s="4"/>
      <c r="L2" s="28"/>
      <c r="M2" s="39"/>
    </row>
    <row r="3" spans="2:18" ht="27">
      <c r="B3" s="109" t="s">
        <v>1</v>
      </c>
      <c r="C3" s="658"/>
      <c r="D3" s="658"/>
      <c r="E3" s="574"/>
      <c r="F3" s="7"/>
      <c r="G3" s="7"/>
      <c r="H3" s="7"/>
      <c r="I3" s="105" t="s">
        <v>2</v>
      </c>
      <c r="J3" s="571" t="s">
        <v>3</v>
      </c>
      <c r="K3" s="571"/>
      <c r="L3" s="571"/>
      <c r="M3" s="571"/>
      <c r="N3" s="568"/>
    </row>
    <row r="4" spans="2:18" ht="16.5" customHeight="1">
      <c r="B4" s="110" t="s">
        <v>4</v>
      </c>
      <c r="C4" s="659"/>
      <c r="D4" s="659"/>
      <c r="E4" s="576"/>
      <c r="F4" s="7"/>
      <c r="G4" s="7"/>
      <c r="H4" s="7"/>
      <c r="I4" s="106" t="s">
        <v>5</v>
      </c>
      <c r="J4" s="572" t="s">
        <v>6</v>
      </c>
      <c r="K4" s="572"/>
      <c r="L4" s="106" t="s">
        <v>7</v>
      </c>
      <c r="M4" s="101" t="s">
        <v>8</v>
      </c>
      <c r="N4" s="569"/>
    </row>
    <row r="5" spans="2:18" ht="20.25" customHeight="1">
      <c r="B5" s="111" t="s">
        <v>9</v>
      </c>
      <c r="C5" s="660" t="s">
        <v>272</v>
      </c>
      <c r="D5" s="660"/>
      <c r="E5" s="578"/>
      <c r="F5" s="7"/>
      <c r="G5" s="7"/>
      <c r="H5" s="7"/>
      <c r="I5" s="106" t="s">
        <v>11</v>
      </c>
      <c r="J5" s="103" t="s">
        <v>273</v>
      </c>
      <c r="K5" s="103"/>
      <c r="L5" s="103"/>
      <c r="M5" s="103"/>
      <c r="N5" s="569"/>
    </row>
    <row r="6" spans="2:18" ht="20.25" customHeight="1">
      <c r="B6" s="7"/>
      <c r="C6" s="7"/>
      <c r="D6" s="7"/>
      <c r="E6" s="7"/>
      <c r="F6" s="7"/>
      <c r="G6" s="7"/>
      <c r="H6" s="7"/>
      <c r="I6" s="107" t="s">
        <v>13</v>
      </c>
      <c r="J6" s="104" t="s">
        <v>14</v>
      </c>
      <c r="K6" s="104"/>
      <c r="L6" s="104"/>
      <c r="M6" s="104"/>
      <c r="N6" s="570"/>
    </row>
    <row r="7" spans="2:18" ht="21" customHeight="1">
      <c r="B7" s="9" t="s">
        <v>15</v>
      </c>
      <c r="C7" s="8"/>
      <c r="D7" s="8"/>
      <c r="E7" s="8"/>
      <c r="F7" s="8"/>
      <c r="G7" s="9"/>
      <c r="H7" s="7"/>
      <c r="I7" s="10"/>
      <c r="J7" s="10"/>
      <c r="K7" s="11"/>
      <c r="M7" s="12" t="s">
        <v>16</v>
      </c>
      <c r="N7" s="108">
        <v>44727</v>
      </c>
    </row>
    <row r="8" spans="2:18" ht="29.25" customHeight="1">
      <c r="B8" s="582" t="s">
        <v>17</v>
      </c>
      <c r="C8" s="583"/>
      <c r="D8" s="29" t="s">
        <v>18</v>
      </c>
      <c r="E8" s="584">
        <f>K8</f>
        <v>149773000</v>
      </c>
      <c r="F8" s="584"/>
      <c r="G8" s="584"/>
      <c r="H8" s="584"/>
      <c r="I8" s="30" t="s">
        <v>19</v>
      </c>
      <c r="J8" s="30" t="s">
        <v>20</v>
      </c>
      <c r="K8" s="676">
        <f>M21</f>
        <v>149773000</v>
      </c>
      <c r="L8" s="676"/>
      <c r="M8" s="676"/>
      <c r="N8" s="31" t="s">
        <v>85</v>
      </c>
    </row>
    <row r="9" spans="2:18" ht="17.25" customHeight="1">
      <c r="B9" s="585" t="s">
        <v>23</v>
      </c>
      <c r="C9" s="586"/>
      <c r="D9" s="589" t="s">
        <v>24</v>
      </c>
      <c r="E9" s="589" t="s">
        <v>25</v>
      </c>
      <c r="F9" s="591" t="s">
        <v>26</v>
      </c>
      <c r="G9" s="592"/>
      <c r="H9" s="592"/>
      <c r="I9" s="591" t="s">
        <v>27</v>
      </c>
      <c r="J9" s="592"/>
      <c r="K9" s="603"/>
      <c r="L9" s="591" t="s">
        <v>28</v>
      </c>
      <c r="M9" s="603"/>
      <c r="N9" s="593" t="s">
        <v>29</v>
      </c>
    </row>
    <row r="10" spans="2:18" ht="17.25" customHeight="1">
      <c r="B10" s="587"/>
      <c r="C10" s="588"/>
      <c r="D10" s="590"/>
      <c r="E10" s="590"/>
      <c r="F10" s="542" t="s">
        <v>30</v>
      </c>
      <c r="G10" s="591" t="s">
        <v>31</v>
      </c>
      <c r="H10" s="592"/>
      <c r="I10" s="542" t="s">
        <v>30</v>
      </c>
      <c r="J10" s="591" t="s">
        <v>31</v>
      </c>
      <c r="K10" s="603"/>
      <c r="L10" s="542" t="s">
        <v>32</v>
      </c>
      <c r="M10" s="14" t="s">
        <v>33</v>
      </c>
      <c r="N10" s="593"/>
      <c r="R10" s="65"/>
    </row>
    <row r="11" spans="2:18" ht="23.25" customHeight="1">
      <c r="B11" s="594" t="s">
        <v>86</v>
      </c>
      <c r="C11" s="595"/>
      <c r="D11" s="596" t="s">
        <v>87</v>
      </c>
      <c r="E11" s="597"/>
      <c r="F11" s="597"/>
      <c r="G11" s="597"/>
      <c r="H11" s="597"/>
      <c r="I11" s="597"/>
      <c r="J11" s="597"/>
      <c r="K11" s="597"/>
      <c r="L11" s="597"/>
      <c r="M11" s="598"/>
      <c r="N11" s="35"/>
      <c r="R11" s="65"/>
    </row>
    <row r="12" spans="2:18" ht="20.25" customHeight="1">
      <c r="B12" s="599" t="s">
        <v>88</v>
      </c>
      <c r="C12" s="619"/>
      <c r="D12" s="546" t="s">
        <v>46</v>
      </c>
      <c r="E12" s="41">
        <v>11521</v>
      </c>
      <c r="F12" s="546">
        <v>3500</v>
      </c>
      <c r="G12" s="601">
        <f>E12*F12</f>
        <v>40323500</v>
      </c>
      <c r="H12" s="602"/>
      <c r="I12" s="42">
        <v>9500</v>
      </c>
      <c r="J12" s="656">
        <f>E12*I12</f>
        <v>109449500</v>
      </c>
      <c r="K12" s="657"/>
      <c r="L12" s="42">
        <f>F12+I12</f>
        <v>13000</v>
      </c>
      <c r="M12" s="43">
        <f>E12*L12</f>
        <v>149773000</v>
      </c>
      <c r="N12" s="36" t="s">
        <v>89</v>
      </c>
      <c r="R12" s="65"/>
    </row>
    <row r="13" spans="2:18" ht="20.25" customHeight="1">
      <c r="B13" s="621" t="s">
        <v>90</v>
      </c>
      <c r="C13" s="675"/>
      <c r="D13" s="17" t="s">
        <v>47</v>
      </c>
      <c r="E13" s="48"/>
      <c r="F13" s="17">
        <v>40</v>
      </c>
      <c r="G13" s="608"/>
      <c r="H13" s="609"/>
      <c r="I13" s="52"/>
      <c r="J13" s="654">
        <f>E13*I13</f>
        <v>0</v>
      </c>
      <c r="K13" s="655"/>
      <c r="L13" s="52"/>
      <c r="M13" s="53"/>
      <c r="N13" s="541" t="s">
        <v>48</v>
      </c>
      <c r="O13" s="34"/>
    </row>
    <row r="14" spans="2:18" ht="24.75" customHeight="1">
      <c r="B14" s="615" t="s">
        <v>43</v>
      </c>
      <c r="C14" s="616"/>
      <c r="D14" s="544"/>
      <c r="E14" s="49">
        <f>E12</f>
        <v>11521</v>
      </c>
      <c r="F14" s="544">
        <f>G14/E14</f>
        <v>3500</v>
      </c>
      <c r="G14" s="617">
        <f>SUM(G12:G13)</f>
        <v>40323500</v>
      </c>
      <c r="H14" s="618"/>
      <c r="I14" s="50">
        <f>SUM(I12:I13)</f>
        <v>9500</v>
      </c>
      <c r="J14" s="650">
        <f>SUM(J12:J13)</f>
        <v>109449500</v>
      </c>
      <c r="K14" s="651"/>
      <c r="L14" s="50">
        <f>SUM(L12:L13)</f>
        <v>13000</v>
      </c>
      <c r="M14" s="51">
        <f>SUM(M12:M13)</f>
        <v>149773000</v>
      </c>
      <c r="N14" s="16"/>
    </row>
    <row r="15" spans="2:18" ht="27" customHeight="1">
      <c r="B15" s="623" t="s">
        <v>91</v>
      </c>
      <c r="C15" s="624"/>
      <c r="D15" s="625" t="s">
        <v>50</v>
      </c>
      <c r="E15" s="626"/>
      <c r="F15" s="626"/>
      <c r="G15" s="626"/>
      <c r="H15" s="626"/>
      <c r="I15" s="626"/>
      <c r="J15" s="626"/>
      <c r="K15" s="626"/>
      <c r="L15" s="626"/>
      <c r="M15" s="627"/>
      <c r="N15" s="54"/>
    </row>
    <row r="16" spans="2:18" ht="20.25" customHeight="1">
      <c r="B16" s="628" t="s">
        <v>51</v>
      </c>
      <c r="C16" s="628"/>
      <c r="D16" s="546" t="s">
        <v>52</v>
      </c>
      <c r="E16" s="41">
        <v>1</v>
      </c>
      <c r="F16" s="546">
        <v>1000000</v>
      </c>
      <c r="G16" s="620"/>
      <c r="H16" s="620"/>
      <c r="I16" s="42"/>
      <c r="J16" s="649"/>
      <c r="K16" s="649"/>
      <c r="L16" s="42"/>
      <c r="M16" s="42"/>
      <c r="N16" s="36"/>
      <c r="O16" s="345"/>
    </row>
    <row r="17" spans="2:16" ht="20.25" customHeight="1">
      <c r="B17" s="604" t="s">
        <v>53</v>
      </c>
      <c r="C17" s="604"/>
      <c r="D17" s="543" t="s">
        <v>54</v>
      </c>
      <c r="E17" s="68">
        <v>1</v>
      </c>
      <c r="F17" s="68">
        <v>250000</v>
      </c>
      <c r="G17" s="605"/>
      <c r="H17" s="605"/>
      <c r="I17" s="46"/>
      <c r="J17" s="644"/>
      <c r="K17" s="644"/>
      <c r="L17" s="46"/>
      <c r="M17" s="46"/>
      <c r="N17" s="69"/>
      <c r="P17" s="5"/>
    </row>
    <row r="18" spans="2:16" ht="20.25" customHeight="1">
      <c r="B18" s="640" t="s">
        <v>261</v>
      </c>
      <c r="C18" s="640"/>
      <c r="D18" s="545"/>
      <c r="E18" s="377"/>
      <c r="F18" s="545"/>
      <c r="G18" s="641" t="s">
        <v>59</v>
      </c>
      <c r="H18" s="641"/>
      <c r="I18" s="378"/>
      <c r="J18" s="648"/>
      <c r="K18" s="648"/>
      <c r="L18" s="378"/>
      <c r="M18" s="378"/>
      <c r="N18" s="379"/>
    </row>
    <row r="19" spans="2:16" ht="24.75" customHeight="1">
      <c r="B19" s="642" t="s">
        <v>60</v>
      </c>
      <c r="C19" s="642"/>
      <c r="D19" s="55"/>
      <c r="E19" s="544"/>
      <c r="F19" s="544"/>
      <c r="G19" s="643">
        <f>SUM(G16:H18)</f>
        <v>0</v>
      </c>
      <c r="H19" s="643"/>
      <c r="I19" s="50"/>
      <c r="J19" s="646">
        <f>SUM(J16:K18)</f>
        <v>0</v>
      </c>
      <c r="K19" s="646"/>
      <c r="L19" s="50"/>
      <c r="M19" s="56">
        <f>SUM(M16:M18)</f>
        <v>0</v>
      </c>
      <c r="N19" s="57"/>
      <c r="O19" s="6"/>
    </row>
    <row r="20" spans="2:16" ht="24.75" customHeight="1">
      <c r="B20" s="633" t="s">
        <v>61</v>
      </c>
      <c r="C20" s="633"/>
      <c r="D20" s="58"/>
      <c r="E20" s="59"/>
      <c r="F20" s="354"/>
      <c r="G20" s="634"/>
      <c r="H20" s="634"/>
      <c r="I20" s="18"/>
      <c r="J20" s="647"/>
      <c r="K20" s="647"/>
      <c r="L20" s="18"/>
      <c r="M20" s="60"/>
      <c r="N20" s="19"/>
      <c r="O20" s="6"/>
    </row>
    <row r="21" spans="2:16" ht="24.75" customHeight="1">
      <c r="B21" s="635" t="s">
        <v>62</v>
      </c>
      <c r="C21" s="635"/>
      <c r="D21" s="25"/>
      <c r="E21" s="25"/>
      <c r="F21" s="26"/>
      <c r="G21" s="636">
        <f>G14</f>
        <v>40323500</v>
      </c>
      <c r="H21" s="636"/>
      <c r="I21" s="27"/>
      <c r="J21" s="645">
        <f>J14</f>
        <v>109449500</v>
      </c>
      <c r="K21" s="645"/>
      <c r="L21" s="61"/>
      <c r="M21" s="33">
        <f>G21+J21</f>
        <v>149773000</v>
      </c>
      <c r="N21" s="62"/>
      <c r="O21" s="6"/>
    </row>
    <row r="22" spans="2:16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6"/>
    </row>
    <row r="23" spans="2:16" ht="24.75" customHeight="1">
      <c r="B23" s="669" t="s">
        <v>63</v>
      </c>
      <c r="C23" s="670"/>
      <c r="D23" s="670"/>
      <c r="E23" s="670"/>
      <c r="F23" s="670"/>
      <c r="G23" s="670"/>
      <c r="H23" s="670"/>
      <c r="I23" s="670"/>
      <c r="J23" s="670"/>
      <c r="K23" s="670"/>
      <c r="L23" s="670"/>
      <c r="M23" s="670"/>
      <c r="N23" s="671"/>
      <c r="O23" s="6"/>
    </row>
    <row r="24" spans="2:16" ht="19.5" customHeight="1">
      <c r="B24" s="672" t="s">
        <v>274</v>
      </c>
      <c r="C24" s="673"/>
      <c r="D24" s="673"/>
      <c r="E24" s="673"/>
      <c r="F24" s="673"/>
      <c r="G24" s="673"/>
      <c r="H24" s="673"/>
      <c r="I24" s="673"/>
      <c r="J24" s="673"/>
      <c r="K24" s="673"/>
      <c r="L24" s="673"/>
      <c r="M24" s="673"/>
      <c r="N24" s="674"/>
    </row>
    <row r="25" spans="2:16" ht="19.5" customHeight="1">
      <c r="B25" s="70">
        <v>1</v>
      </c>
      <c r="C25" s="20" t="s">
        <v>66</v>
      </c>
      <c r="D25" s="21"/>
      <c r="E25" s="21"/>
      <c r="F25" s="21"/>
      <c r="G25" s="21"/>
      <c r="H25" s="360"/>
      <c r="I25" s="21"/>
      <c r="J25" s="21"/>
      <c r="K25" s="21"/>
      <c r="L25" s="21"/>
      <c r="M25" s="21"/>
      <c r="N25" s="361"/>
    </row>
    <row r="26" spans="2:16" ht="19.5" customHeight="1">
      <c r="B26" s="547">
        <v>2</v>
      </c>
      <c r="C26" s="561" t="s">
        <v>67</v>
      </c>
      <c r="D26" s="549"/>
      <c r="E26" s="549"/>
      <c r="F26" s="549"/>
      <c r="G26" s="549"/>
      <c r="H26" s="563"/>
      <c r="I26" s="551"/>
      <c r="J26" s="551"/>
      <c r="K26" s="551"/>
      <c r="L26" s="551"/>
      <c r="M26" s="551"/>
      <c r="N26" s="564"/>
    </row>
    <row r="27" spans="2:16" ht="19.5" customHeight="1">
      <c r="B27" s="22">
        <v>3</v>
      </c>
      <c r="C27" s="356" t="s">
        <v>69</v>
      </c>
      <c r="D27" s="23"/>
      <c r="E27" s="23"/>
      <c r="F27" s="23"/>
      <c r="G27" s="23"/>
      <c r="H27" s="362"/>
      <c r="I27" s="23"/>
      <c r="J27" s="23"/>
      <c r="K27" s="23"/>
      <c r="L27" s="23"/>
      <c r="M27" s="23"/>
      <c r="N27" s="71"/>
    </row>
    <row r="28" spans="2:16" ht="19.5" customHeight="1">
      <c r="B28" s="22">
        <v>4</v>
      </c>
      <c r="C28" s="356" t="s">
        <v>266</v>
      </c>
      <c r="D28" s="23"/>
      <c r="E28" s="23"/>
      <c r="F28" s="23"/>
      <c r="G28" s="23"/>
      <c r="H28" s="362"/>
      <c r="I28" s="23"/>
      <c r="J28" s="23"/>
      <c r="K28" s="23"/>
      <c r="L28" s="23"/>
      <c r="M28" s="23"/>
      <c r="N28" s="71"/>
    </row>
    <row r="29" spans="2:16" ht="19.5" customHeight="1">
      <c r="B29" s="22">
        <v>5</v>
      </c>
      <c r="C29" s="356" t="s">
        <v>71</v>
      </c>
      <c r="D29" s="32"/>
      <c r="E29" s="32"/>
      <c r="F29" s="32"/>
      <c r="G29" s="32"/>
      <c r="H29" s="362"/>
      <c r="I29" s="23"/>
      <c r="J29" s="23"/>
      <c r="K29" s="23"/>
      <c r="L29" s="23"/>
      <c r="M29" s="23"/>
      <c r="N29" s="71"/>
    </row>
    <row r="30" spans="2:16" ht="19.5" customHeight="1">
      <c r="B30" s="22">
        <v>6</v>
      </c>
      <c r="C30" s="356" t="s">
        <v>73</v>
      </c>
      <c r="D30" s="32"/>
      <c r="E30" s="32"/>
      <c r="F30" s="32"/>
      <c r="G30" s="32"/>
      <c r="H30" s="362"/>
      <c r="I30" s="23"/>
      <c r="J30" s="23"/>
      <c r="K30" s="23"/>
      <c r="L30" s="23"/>
      <c r="M30" s="23"/>
      <c r="N30" s="71"/>
    </row>
    <row r="31" spans="2:16" ht="19.5" customHeight="1">
      <c r="B31" s="547">
        <v>7</v>
      </c>
      <c r="C31" s="561" t="s">
        <v>75</v>
      </c>
      <c r="D31" s="549"/>
      <c r="E31" s="549"/>
      <c r="F31" s="549"/>
      <c r="G31" s="549"/>
      <c r="H31" s="563"/>
      <c r="I31" s="551"/>
      <c r="J31" s="551"/>
      <c r="K31" s="551"/>
      <c r="L31" s="551"/>
      <c r="M31" s="551"/>
      <c r="N31" s="564"/>
    </row>
    <row r="32" spans="2:16" ht="19.5" customHeight="1">
      <c r="B32" s="547">
        <v>8</v>
      </c>
      <c r="C32" s="561" t="s">
        <v>281</v>
      </c>
      <c r="D32" s="549"/>
      <c r="E32" s="549"/>
      <c r="F32" s="549"/>
      <c r="G32" s="549"/>
      <c r="H32" s="563"/>
      <c r="I32" s="551"/>
      <c r="J32" s="551"/>
      <c r="K32" s="551"/>
      <c r="L32" s="551"/>
      <c r="M32" s="551"/>
      <c r="N32" s="564"/>
    </row>
    <row r="33" spans="2:14" ht="19.5" customHeight="1">
      <c r="B33" s="22">
        <v>9</v>
      </c>
      <c r="C33" s="356" t="s">
        <v>78</v>
      </c>
      <c r="D33" s="23"/>
      <c r="E33" s="356"/>
      <c r="F33" s="356"/>
      <c r="G33" s="356"/>
      <c r="H33" s="362"/>
      <c r="I33" s="23"/>
      <c r="J33" s="23"/>
      <c r="K33" s="23"/>
      <c r="L33" s="23"/>
      <c r="M33" s="23"/>
      <c r="N33" s="71"/>
    </row>
    <row r="34" spans="2:14" ht="19.5" customHeight="1">
      <c r="B34" s="547">
        <v>10</v>
      </c>
      <c r="C34" s="561" t="s">
        <v>80</v>
      </c>
      <c r="D34" s="551"/>
      <c r="E34" s="561"/>
      <c r="F34" s="562"/>
      <c r="G34" s="562"/>
      <c r="H34" s="563"/>
      <c r="I34" s="551"/>
      <c r="J34" s="551"/>
      <c r="K34" s="551"/>
      <c r="L34" s="551"/>
      <c r="M34" s="551"/>
      <c r="N34" s="564"/>
    </row>
    <row r="35" spans="2:14" ht="19.5" customHeight="1">
      <c r="B35" s="22">
        <v>11</v>
      </c>
      <c r="C35" s="356" t="s">
        <v>282</v>
      </c>
      <c r="D35" s="23"/>
      <c r="E35" s="356"/>
      <c r="F35" s="358"/>
      <c r="G35" s="358"/>
      <c r="H35" s="362"/>
      <c r="I35" s="363"/>
      <c r="J35" s="23"/>
      <c r="K35" s="356"/>
      <c r="L35" s="358"/>
      <c r="M35" s="358"/>
      <c r="N35" s="24"/>
    </row>
    <row r="36" spans="2:14" ht="16.5">
      <c r="B36" s="553">
        <v>12</v>
      </c>
      <c r="C36" s="97" t="s">
        <v>82</v>
      </c>
      <c r="D36" s="554"/>
      <c r="E36" s="97"/>
      <c r="F36" s="555"/>
      <c r="G36" s="555"/>
      <c r="H36" s="558"/>
      <c r="I36" s="565"/>
      <c r="J36" s="565"/>
      <c r="K36" s="565"/>
      <c r="L36" s="559"/>
      <c r="M36" s="559"/>
      <c r="N36" s="560"/>
    </row>
    <row r="37" spans="2:14">
      <c r="L37" s="629" t="s">
        <v>83</v>
      </c>
      <c r="M37" s="629"/>
      <c r="N37" s="629"/>
    </row>
    <row r="38" spans="2:14" ht="16.5">
      <c r="L38" s="630" t="s">
        <v>84</v>
      </c>
      <c r="M38" s="631"/>
      <c r="N38" s="632"/>
    </row>
  </sheetData>
  <mergeCells count="54">
    <mergeCell ref="B1:N1"/>
    <mergeCell ref="C3:E3"/>
    <mergeCell ref="J3:M3"/>
    <mergeCell ref="N3:N6"/>
    <mergeCell ref="C4:E4"/>
    <mergeCell ref="J4:K4"/>
    <mergeCell ref="C5:E5"/>
    <mergeCell ref="B12:C12"/>
    <mergeCell ref="G12:H12"/>
    <mergeCell ref="J12:K12"/>
    <mergeCell ref="B8:C8"/>
    <mergeCell ref="E8:H8"/>
    <mergeCell ref="K8:M8"/>
    <mergeCell ref="B9:C10"/>
    <mergeCell ref="D9:D10"/>
    <mergeCell ref="E9:E10"/>
    <mergeCell ref="F9:H9"/>
    <mergeCell ref="I9:K9"/>
    <mergeCell ref="L9:M9"/>
    <mergeCell ref="N9:N10"/>
    <mergeCell ref="G10:H10"/>
    <mergeCell ref="J10:K10"/>
    <mergeCell ref="B11:C11"/>
    <mergeCell ref="D11:M11"/>
    <mergeCell ref="B17:C17"/>
    <mergeCell ref="G17:H17"/>
    <mergeCell ref="J17:K17"/>
    <mergeCell ref="B13:C13"/>
    <mergeCell ref="G13:H13"/>
    <mergeCell ref="J13:K13"/>
    <mergeCell ref="B14:C14"/>
    <mergeCell ref="G14:H14"/>
    <mergeCell ref="J14:K14"/>
    <mergeCell ref="B15:C15"/>
    <mergeCell ref="D15:M15"/>
    <mergeCell ref="B16:C16"/>
    <mergeCell ref="G16:H16"/>
    <mergeCell ref="J16:K16"/>
    <mergeCell ref="B18:C18"/>
    <mergeCell ref="G18:H18"/>
    <mergeCell ref="J18:K18"/>
    <mergeCell ref="B19:C19"/>
    <mergeCell ref="G19:H19"/>
    <mergeCell ref="J19:K19"/>
    <mergeCell ref="B23:N23"/>
    <mergeCell ref="B24:N24"/>
    <mergeCell ref="L37:N37"/>
    <mergeCell ref="L38:N38"/>
    <mergeCell ref="B20:C20"/>
    <mergeCell ref="G20:H20"/>
    <mergeCell ref="J20:K20"/>
    <mergeCell ref="B21:C21"/>
    <mergeCell ref="G21:H21"/>
    <mergeCell ref="J21:K21"/>
  </mergeCells>
  <phoneticPr fontId="78" type="noConversion"/>
  <printOptions horizontalCentered="1" verticalCentered="1"/>
  <pageMargins left="0" right="0" top="0.19685039370078741" bottom="0" header="0.35433070866141736" footer="0.11811023622047245"/>
  <pageSetup paperSize="9" scale="67" orientation="landscape" horizontalDpi="4294967293" vertic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3B93-EB0A-4F2E-B4F3-A598FA7BE2F6}">
  <sheetPr>
    <pageSetUpPr fitToPage="1"/>
  </sheetPr>
  <dimension ref="B1:W63"/>
  <sheetViews>
    <sheetView view="pageBreakPreview" zoomScale="85" zoomScaleNormal="100" zoomScaleSheetLayoutView="85" workbookViewId="0">
      <selection activeCell="L18" sqref="L18"/>
    </sheetView>
  </sheetViews>
  <sheetFormatPr defaultColWidth="9" defaultRowHeight="14.25"/>
  <cols>
    <col min="1" max="1" width="9" style="72"/>
    <col min="2" max="2" width="29.125" style="72" customWidth="1"/>
    <col min="3" max="3" width="7.25" style="72" bestFit="1" customWidth="1"/>
    <col min="4" max="4" width="9.75" style="72" bestFit="1" customWidth="1"/>
    <col min="5" max="5" width="11.75" style="72" bestFit="1" customWidth="1"/>
    <col min="6" max="6" width="21.625" style="72" customWidth="1"/>
    <col min="7" max="7" width="12.625" style="72" customWidth="1"/>
    <col min="8" max="8" width="16.375" style="72" customWidth="1"/>
    <col min="9" max="9" width="15.125" style="73" customWidth="1"/>
    <col min="10" max="13" width="12.25" style="73" customWidth="1"/>
    <col min="14" max="14" width="15.375" style="73" customWidth="1"/>
    <col min="15" max="15" width="12.625" style="73" bestFit="1" customWidth="1"/>
    <col min="16" max="19" width="12.625" style="73" customWidth="1"/>
    <col min="20" max="20" width="12.875" style="73" bestFit="1" customWidth="1"/>
    <col min="21" max="22" width="14.625" style="73" bestFit="1" customWidth="1"/>
    <col min="23" max="23" width="9" style="73"/>
    <col min="24" max="16384" width="9" style="72"/>
  </cols>
  <sheetData>
    <row r="1" spans="2:23" ht="42" customHeight="1">
      <c r="B1" s="677" t="s">
        <v>236</v>
      </c>
      <c r="C1" s="677"/>
      <c r="D1" s="677"/>
      <c r="E1" s="677"/>
      <c r="F1" s="677"/>
      <c r="G1" s="677"/>
      <c r="H1" s="677"/>
      <c r="I1" s="677"/>
      <c r="J1" s="677"/>
      <c r="K1" s="677"/>
    </row>
    <row r="2" spans="2:23" ht="17.25" customHeight="1">
      <c r="B2" s="84"/>
      <c r="C2" s="84"/>
      <c r="D2" s="84"/>
      <c r="E2" s="84"/>
      <c r="F2" s="73"/>
      <c r="G2" s="73"/>
      <c r="H2" s="73"/>
    </row>
    <row r="3" spans="2:23" ht="27.75" thickBot="1">
      <c r="B3" s="84"/>
      <c r="C3" s="84"/>
      <c r="D3" s="84"/>
      <c r="E3" s="84"/>
      <c r="F3" s="84"/>
      <c r="G3" s="105" t="s">
        <v>2</v>
      </c>
      <c r="H3" s="678" t="s">
        <v>3</v>
      </c>
      <c r="I3" s="679"/>
      <c r="J3" s="680"/>
      <c r="K3" s="568"/>
    </row>
    <row r="4" spans="2:23" ht="18" customHeight="1">
      <c r="B4" s="143" t="s">
        <v>1</v>
      </c>
      <c r="C4" s="681"/>
      <c r="D4" s="681"/>
      <c r="E4" s="682"/>
      <c r="F4" s="84"/>
      <c r="G4" s="106" t="s">
        <v>5</v>
      </c>
      <c r="H4" s="380" t="s">
        <v>6</v>
      </c>
      <c r="I4" s="106" t="s">
        <v>7</v>
      </c>
      <c r="J4" s="101" t="s">
        <v>8</v>
      </c>
      <c r="K4" s="569"/>
    </row>
    <row r="5" spans="2:23" ht="18" customHeight="1">
      <c r="B5" s="144" t="s">
        <v>4</v>
      </c>
      <c r="C5" s="591"/>
      <c r="D5" s="592"/>
      <c r="E5" s="683"/>
      <c r="F5" s="84"/>
      <c r="G5" s="106" t="s">
        <v>11</v>
      </c>
      <c r="H5" s="126" t="s">
        <v>12</v>
      </c>
      <c r="I5" s="127"/>
      <c r="J5" s="128"/>
      <c r="K5" s="569"/>
    </row>
    <row r="6" spans="2:23" ht="18" customHeight="1" thickBot="1">
      <c r="B6" s="145" t="s">
        <v>92</v>
      </c>
      <c r="C6" s="684"/>
      <c r="D6" s="685"/>
      <c r="E6" s="686"/>
      <c r="F6" s="84"/>
      <c r="G6" s="147" t="s">
        <v>13</v>
      </c>
      <c r="H6" s="687" t="s">
        <v>14</v>
      </c>
      <c r="I6" s="688"/>
      <c r="J6" s="689"/>
      <c r="K6" s="569"/>
    </row>
    <row r="7" spans="2:23" ht="18" customHeight="1">
      <c r="B7" s="84"/>
      <c r="C7" s="84"/>
      <c r="D7" s="84"/>
      <c r="E7" s="84"/>
      <c r="F7" s="73"/>
      <c r="G7" s="146" t="s">
        <v>93</v>
      </c>
      <c r="H7" s="690" t="s">
        <v>149</v>
      </c>
      <c r="I7" s="691"/>
      <c r="J7" s="692"/>
      <c r="K7" s="570"/>
      <c r="L7" s="112"/>
      <c r="M7" s="112"/>
    </row>
    <row r="8" spans="2:23" ht="18" thickBot="1">
      <c r="B8" s="75"/>
      <c r="C8" s="75"/>
      <c r="D8" s="75"/>
      <c r="E8" s="75"/>
      <c r="F8" s="75"/>
      <c r="G8" s="75"/>
      <c r="H8" s="75"/>
    </row>
    <row r="9" spans="2:23" ht="20.25" customHeight="1" thickBot="1">
      <c r="B9" s="701" t="s">
        <v>94</v>
      </c>
      <c r="C9" s="693" t="s">
        <v>95</v>
      </c>
      <c r="D9" s="693" t="s">
        <v>96</v>
      </c>
      <c r="E9" s="693" t="s">
        <v>97</v>
      </c>
      <c r="F9" s="703" t="s">
        <v>151</v>
      </c>
      <c r="G9" s="704"/>
      <c r="H9" s="703" t="s">
        <v>152</v>
      </c>
      <c r="I9" s="704"/>
      <c r="J9" s="693" t="s">
        <v>98</v>
      </c>
      <c r="K9" s="695" t="s">
        <v>153</v>
      </c>
      <c r="L9" s="74"/>
      <c r="M9" s="74"/>
    </row>
    <row r="10" spans="2:23" ht="20.25" customHeight="1" thickBot="1">
      <c r="B10" s="702"/>
      <c r="C10" s="694"/>
      <c r="D10" s="694"/>
      <c r="E10" s="694"/>
      <c r="F10" s="381" t="s">
        <v>154</v>
      </c>
      <c r="G10" s="381" t="s">
        <v>155</v>
      </c>
      <c r="H10" s="381" t="s">
        <v>156</v>
      </c>
      <c r="I10" s="381" t="s">
        <v>157</v>
      </c>
      <c r="J10" s="694"/>
      <c r="K10" s="696"/>
      <c r="L10" s="74"/>
      <c r="M10" s="74"/>
      <c r="N10" s="86" t="s">
        <v>158</v>
      </c>
      <c r="O10" s="86" t="s">
        <v>159</v>
      </c>
      <c r="P10" s="87" t="s">
        <v>160</v>
      </c>
      <c r="Q10" s="87" t="s">
        <v>161</v>
      </c>
      <c r="R10" s="87" t="s">
        <v>162</v>
      </c>
      <c r="S10" s="174" t="s">
        <v>237</v>
      </c>
      <c r="T10" s="87" t="s">
        <v>238</v>
      </c>
    </row>
    <row r="11" spans="2:23" s="76" customFormat="1" ht="17.25" customHeight="1">
      <c r="B11" s="532" t="s">
        <v>99</v>
      </c>
      <c r="C11" s="533">
        <v>730</v>
      </c>
      <c r="D11" s="534">
        <v>2.6</v>
      </c>
      <c r="E11" s="535">
        <f t="shared" ref="E11:E53" si="0">D11*C11</f>
        <v>1898</v>
      </c>
      <c r="F11" s="536">
        <v>221</v>
      </c>
      <c r="G11" s="537">
        <v>6</v>
      </c>
      <c r="H11" s="538">
        <f>F11*C11</f>
        <v>161330</v>
      </c>
      <c r="I11" s="538">
        <f>G11*C11</f>
        <v>4380</v>
      </c>
      <c r="J11" s="539">
        <v>7390</v>
      </c>
      <c r="K11" s="540"/>
      <c r="L11" s="113"/>
      <c r="M11" s="113"/>
      <c r="N11" s="186" t="s">
        <v>99</v>
      </c>
      <c r="O11" s="182">
        <v>7390</v>
      </c>
      <c r="P11" s="182">
        <f t="shared" ref="P11:Q26" si="1">F11</f>
        <v>221</v>
      </c>
      <c r="Q11" s="182">
        <f t="shared" si="1"/>
        <v>6</v>
      </c>
      <c r="R11" s="182">
        <f>P11+(Q11*365)</f>
        <v>2411</v>
      </c>
      <c r="S11" s="182">
        <f>P11+(Q11*730)</f>
        <v>4601</v>
      </c>
      <c r="T11" s="183">
        <f>P11+(Q11*1095)</f>
        <v>6791</v>
      </c>
      <c r="U11" s="77"/>
      <c r="V11" s="77"/>
      <c r="W11" s="77"/>
    </row>
    <row r="12" spans="2:23" s="76" customFormat="1" ht="17.25" customHeight="1" thickBot="1">
      <c r="B12" s="382" t="s">
        <v>100</v>
      </c>
      <c r="C12" s="383"/>
      <c r="D12" s="384"/>
      <c r="E12" s="457">
        <f t="shared" si="0"/>
        <v>0</v>
      </c>
      <c r="F12" s="385">
        <v>250</v>
      </c>
      <c r="G12" s="386">
        <v>6</v>
      </c>
      <c r="H12" s="387">
        <f t="shared" ref="H12:H53" si="2">F12*C12</f>
        <v>0</v>
      </c>
      <c r="I12" s="387">
        <f t="shared" ref="I12:I53" si="3">G12*C12</f>
        <v>0</v>
      </c>
      <c r="J12" s="388">
        <v>7500</v>
      </c>
      <c r="K12" s="389"/>
      <c r="L12" s="113"/>
      <c r="M12" s="113"/>
      <c r="N12" s="196" t="s">
        <v>100</v>
      </c>
      <c r="O12" s="180">
        <v>8000</v>
      </c>
      <c r="P12" s="180">
        <f t="shared" si="1"/>
        <v>250</v>
      </c>
      <c r="Q12" s="180">
        <f t="shared" si="1"/>
        <v>6</v>
      </c>
      <c r="R12" s="180">
        <f t="shared" ref="R12:R53" si="4">P12+(Q12*365)</f>
        <v>2440</v>
      </c>
      <c r="S12" s="180">
        <f t="shared" ref="S12:S53" si="5">P12+(Q12*730)</f>
        <v>4630</v>
      </c>
      <c r="T12" s="181">
        <f t="shared" ref="T12:T53" si="6">P12+(Q12*1095)</f>
        <v>6820</v>
      </c>
      <c r="U12" s="77"/>
      <c r="V12" s="77"/>
      <c r="W12" s="77"/>
    </row>
    <row r="13" spans="2:23" s="76" customFormat="1" ht="17.25" customHeight="1" thickTop="1">
      <c r="B13" s="497" t="s">
        <v>101</v>
      </c>
      <c r="C13" s="498">
        <v>200</v>
      </c>
      <c r="D13" s="513">
        <v>12.25</v>
      </c>
      <c r="E13" s="499">
        <f t="shared" si="0"/>
        <v>2450</v>
      </c>
      <c r="F13" s="500">
        <v>600</v>
      </c>
      <c r="G13" s="501">
        <v>18</v>
      </c>
      <c r="H13" s="502">
        <f t="shared" si="2"/>
        <v>120000</v>
      </c>
      <c r="I13" s="502">
        <f t="shared" si="3"/>
        <v>3600</v>
      </c>
      <c r="J13" s="503">
        <v>29530</v>
      </c>
      <c r="K13" s="504"/>
      <c r="L13" s="113"/>
      <c r="M13" s="113"/>
      <c r="N13" s="198" t="s">
        <v>101</v>
      </c>
      <c r="O13" s="184">
        <v>29350</v>
      </c>
      <c r="P13" s="184">
        <f t="shared" si="1"/>
        <v>600</v>
      </c>
      <c r="Q13" s="184">
        <f t="shared" si="1"/>
        <v>18</v>
      </c>
      <c r="R13" s="184">
        <f t="shared" si="4"/>
        <v>7170</v>
      </c>
      <c r="S13" s="184">
        <f t="shared" si="5"/>
        <v>13740</v>
      </c>
      <c r="T13" s="185">
        <f t="shared" si="6"/>
        <v>20310</v>
      </c>
      <c r="U13" s="77"/>
      <c r="V13" s="77"/>
      <c r="W13" s="77"/>
    </row>
    <row r="14" spans="2:23" s="76" customFormat="1" ht="17.25" customHeight="1">
      <c r="B14" s="505" t="s">
        <v>102</v>
      </c>
      <c r="C14" s="506">
        <v>140</v>
      </c>
      <c r="D14" s="514">
        <v>9.23</v>
      </c>
      <c r="E14" s="508">
        <f t="shared" si="0"/>
        <v>1292.2</v>
      </c>
      <c r="F14" s="509">
        <v>500</v>
      </c>
      <c r="G14" s="510">
        <v>15</v>
      </c>
      <c r="H14" s="485">
        <f t="shared" si="2"/>
        <v>70000</v>
      </c>
      <c r="I14" s="485">
        <f t="shared" si="3"/>
        <v>2100</v>
      </c>
      <c r="J14" s="511">
        <v>25540</v>
      </c>
      <c r="K14" s="512"/>
      <c r="L14" s="113"/>
      <c r="M14" s="113"/>
      <c r="N14" s="187" t="s">
        <v>102</v>
      </c>
      <c r="O14" s="177">
        <v>25360</v>
      </c>
      <c r="P14" s="177">
        <f t="shared" si="1"/>
        <v>500</v>
      </c>
      <c r="Q14" s="177">
        <f t="shared" si="1"/>
        <v>15</v>
      </c>
      <c r="R14" s="177">
        <f t="shared" si="4"/>
        <v>5975</v>
      </c>
      <c r="S14" s="177">
        <f t="shared" si="5"/>
        <v>11450</v>
      </c>
      <c r="T14" s="178">
        <f t="shared" si="6"/>
        <v>16925</v>
      </c>
      <c r="U14" s="77"/>
      <c r="V14" s="77"/>
      <c r="W14" s="77"/>
    </row>
    <row r="15" spans="2:23" s="76" customFormat="1" ht="17.25" customHeight="1">
      <c r="B15" s="505" t="s">
        <v>103</v>
      </c>
      <c r="C15" s="506">
        <v>390</v>
      </c>
      <c r="D15" s="507">
        <v>6.3</v>
      </c>
      <c r="E15" s="508">
        <f t="shared" si="0"/>
        <v>2457</v>
      </c>
      <c r="F15" s="509">
        <v>400</v>
      </c>
      <c r="G15" s="510">
        <v>9</v>
      </c>
      <c r="H15" s="485">
        <f t="shared" si="2"/>
        <v>156000</v>
      </c>
      <c r="I15" s="485">
        <f t="shared" si="3"/>
        <v>3510</v>
      </c>
      <c r="J15" s="511">
        <v>18320</v>
      </c>
      <c r="K15" s="512"/>
      <c r="L15" s="113"/>
      <c r="M15" s="113"/>
      <c r="N15" s="187" t="s">
        <v>103</v>
      </c>
      <c r="O15" s="177">
        <v>18200</v>
      </c>
      <c r="P15" s="177">
        <f t="shared" si="1"/>
        <v>400</v>
      </c>
      <c r="Q15" s="177">
        <f t="shared" si="1"/>
        <v>9</v>
      </c>
      <c r="R15" s="177">
        <f t="shared" si="4"/>
        <v>3685</v>
      </c>
      <c r="S15" s="177">
        <f t="shared" si="5"/>
        <v>6970</v>
      </c>
      <c r="T15" s="178">
        <f t="shared" si="6"/>
        <v>10255</v>
      </c>
      <c r="U15" s="77"/>
      <c r="V15" s="77"/>
      <c r="W15" s="77"/>
    </row>
    <row r="16" spans="2:23" s="76" customFormat="1" ht="17.25" customHeight="1">
      <c r="B16" s="505" t="s">
        <v>104</v>
      </c>
      <c r="C16" s="506">
        <v>270</v>
      </c>
      <c r="D16" s="507">
        <v>3.6</v>
      </c>
      <c r="E16" s="508">
        <f t="shared" si="0"/>
        <v>972</v>
      </c>
      <c r="F16" s="509">
        <v>250</v>
      </c>
      <c r="G16" s="510">
        <v>6</v>
      </c>
      <c r="H16" s="485">
        <f t="shared" si="2"/>
        <v>67500</v>
      </c>
      <c r="I16" s="485">
        <f t="shared" si="3"/>
        <v>1620</v>
      </c>
      <c r="J16" s="511">
        <v>11000</v>
      </c>
      <c r="K16" s="512"/>
      <c r="L16" s="113"/>
      <c r="M16" s="113"/>
      <c r="N16" s="187" t="s">
        <v>104</v>
      </c>
      <c r="O16" s="177">
        <v>10930</v>
      </c>
      <c r="P16" s="177">
        <f t="shared" si="1"/>
        <v>250</v>
      </c>
      <c r="Q16" s="177">
        <f t="shared" si="1"/>
        <v>6</v>
      </c>
      <c r="R16" s="177">
        <f t="shared" si="4"/>
        <v>2440</v>
      </c>
      <c r="S16" s="177">
        <f t="shared" si="5"/>
        <v>4630</v>
      </c>
      <c r="T16" s="178">
        <f t="shared" si="6"/>
        <v>6820</v>
      </c>
      <c r="U16" s="77"/>
      <c r="V16" s="77"/>
      <c r="W16" s="77"/>
    </row>
    <row r="17" spans="2:23" s="76" customFormat="1" ht="17.25" customHeight="1">
      <c r="B17" s="515" t="s">
        <v>105</v>
      </c>
      <c r="C17" s="506">
        <v>50</v>
      </c>
      <c r="D17" s="507">
        <v>2.2000000000000002</v>
      </c>
      <c r="E17" s="508">
        <f t="shared" si="0"/>
        <v>110.00000000000001</v>
      </c>
      <c r="F17" s="509">
        <v>200</v>
      </c>
      <c r="G17" s="510">
        <v>5</v>
      </c>
      <c r="H17" s="485">
        <f t="shared" si="2"/>
        <v>10000</v>
      </c>
      <c r="I17" s="485">
        <f t="shared" si="3"/>
        <v>250</v>
      </c>
      <c r="J17" s="511">
        <v>7220</v>
      </c>
      <c r="K17" s="512"/>
      <c r="L17" s="113"/>
      <c r="M17" s="113"/>
      <c r="N17" s="187" t="s">
        <v>105</v>
      </c>
      <c r="O17" s="177">
        <v>7180</v>
      </c>
      <c r="P17" s="177">
        <f t="shared" si="1"/>
        <v>200</v>
      </c>
      <c r="Q17" s="177">
        <f t="shared" si="1"/>
        <v>5</v>
      </c>
      <c r="R17" s="177">
        <f t="shared" si="4"/>
        <v>2025</v>
      </c>
      <c r="S17" s="177">
        <f t="shared" si="5"/>
        <v>3850</v>
      </c>
      <c r="T17" s="178">
        <f t="shared" si="6"/>
        <v>5675</v>
      </c>
      <c r="U17" s="77"/>
      <c r="V17" s="77"/>
      <c r="W17" s="77"/>
    </row>
    <row r="18" spans="2:23" s="76" customFormat="1" ht="17.25" customHeight="1">
      <c r="B18" s="516" t="s">
        <v>106</v>
      </c>
      <c r="C18" s="517">
        <v>740</v>
      </c>
      <c r="D18" s="518">
        <v>1.8</v>
      </c>
      <c r="E18" s="519">
        <f t="shared" si="0"/>
        <v>1332</v>
      </c>
      <c r="F18" s="520">
        <v>117</v>
      </c>
      <c r="G18" s="521">
        <v>4</v>
      </c>
      <c r="H18" s="485">
        <f t="shared" si="2"/>
        <v>86580</v>
      </c>
      <c r="I18" s="485">
        <f t="shared" si="3"/>
        <v>2960</v>
      </c>
      <c r="J18" s="522">
        <v>7000</v>
      </c>
      <c r="K18" s="523"/>
      <c r="L18" s="113"/>
      <c r="M18" s="113"/>
      <c r="N18" s="187" t="s">
        <v>106</v>
      </c>
      <c r="O18" s="177">
        <v>6230</v>
      </c>
      <c r="P18" s="177">
        <f t="shared" si="1"/>
        <v>117</v>
      </c>
      <c r="Q18" s="177">
        <f t="shared" si="1"/>
        <v>4</v>
      </c>
      <c r="R18" s="177">
        <f t="shared" si="4"/>
        <v>1577</v>
      </c>
      <c r="S18" s="177">
        <f t="shared" si="5"/>
        <v>3037</v>
      </c>
      <c r="T18" s="178">
        <f t="shared" si="6"/>
        <v>4497</v>
      </c>
      <c r="U18" s="77"/>
      <c r="V18" s="77"/>
      <c r="W18" s="77"/>
    </row>
    <row r="19" spans="2:23" s="76" customFormat="1" ht="17.25" customHeight="1" thickBot="1">
      <c r="B19" s="524" t="s">
        <v>107</v>
      </c>
      <c r="C19" s="525">
        <v>10</v>
      </c>
      <c r="D19" s="526">
        <v>1.1000000000000001</v>
      </c>
      <c r="E19" s="527">
        <f t="shared" si="0"/>
        <v>11</v>
      </c>
      <c r="F19" s="528">
        <v>150</v>
      </c>
      <c r="G19" s="529">
        <v>3</v>
      </c>
      <c r="H19" s="494">
        <f t="shared" si="2"/>
        <v>1500</v>
      </c>
      <c r="I19" s="494">
        <f t="shared" si="3"/>
        <v>30</v>
      </c>
      <c r="J19" s="530">
        <v>6270</v>
      </c>
      <c r="K19" s="531"/>
      <c r="L19" s="113"/>
      <c r="M19" s="113"/>
      <c r="N19" s="192" t="s">
        <v>107</v>
      </c>
      <c r="O19" s="193">
        <v>5250</v>
      </c>
      <c r="P19" s="193">
        <f t="shared" si="1"/>
        <v>150</v>
      </c>
      <c r="Q19" s="193">
        <f t="shared" si="1"/>
        <v>3</v>
      </c>
      <c r="R19" s="193">
        <f t="shared" si="4"/>
        <v>1245</v>
      </c>
      <c r="S19" s="193">
        <f t="shared" si="5"/>
        <v>2340</v>
      </c>
      <c r="T19" s="194">
        <f t="shared" si="6"/>
        <v>3435</v>
      </c>
      <c r="U19" s="77"/>
      <c r="V19" s="77"/>
      <c r="W19" s="77"/>
    </row>
    <row r="20" spans="2:23" s="76" customFormat="1" ht="17.25" customHeight="1" thickTop="1">
      <c r="B20" s="497" t="s">
        <v>108</v>
      </c>
      <c r="C20" s="498">
        <v>1080</v>
      </c>
      <c r="D20" s="513">
        <v>3.77</v>
      </c>
      <c r="E20" s="499">
        <f t="shared" si="0"/>
        <v>4071.6</v>
      </c>
      <c r="F20" s="500">
        <v>260</v>
      </c>
      <c r="G20" s="501">
        <v>8</v>
      </c>
      <c r="H20" s="502">
        <f t="shared" si="2"/>
        <v>280800</v>
      </c>
      <c r="I20" s="502">
        <f t="shared" si="3"/>
        <v>8640</v>
      </c>
      <c r="J20" s="503">
        <v>8080</v>
      </c>
      <c r="K20" s="504"/>
      <c r="L20" s="113"/>
      <c r="M20" s="113"/>
      <c r="N20" s="197" t="s">
        <v>108</v>
      </c>
      <c r="O20" s="175">
        <v>7550</v>
      </c>
      <c r="P20" s="175">
        <f t="shared" si="1"/>
        <v>260</v>
      </c>
      <c r="Q20" s="175">
        <f t="shared" si="1"/>
        <v>8</v>
      </c>
      <c r="R20" s="175">
        <f t="shared" si="4"/>
        <v>3180</v>
      </c>
      <c r="S20" s="175">
        <f t="shared" si="5"/>
        <v>6100</v>
      </c>
      <c r="T20" s="176">
        <f t="shared" si="6"/>
        <v>9020</v>
      </c>
      <c r="U20" s="77"/>
      <c r="V20" s="77"/>
      <c r="W20" s="77"/>
    </row>
    <row r="21" spans="2:23" s="76" customFormat="1" ht="17.25" customHeight="1">
      <c r="B21" s="130" t="s">
        <v>109</v>
      </c>
      <c r="C21" s="394"/>
      <c r="D21" s="398">
        <v>3.4</v>
      </c>
      <c r="E21" s="459">
        <f t="shared" si="0"/>
        <v>0</v>
      </c>
      <c r="F21" s="395">
        <v>230</v>
      </c>
      <c r="G21" s="396">
        <v>7</v>
      </c>
      <c r="H21" s="397">
        <f t="shared" si="2"/>
        <v>0</v>
      </c>
      <c r="I21" s="397">
        <f t="shared" si="3"/>
        <v>0</v>
      </c>
      <c r="J21" s="123">
        <v>7140</v>
      </c>
      <c r="K21" s="90"/>
      <c r="L21" s="113"/>
      <c r="M21" s="113"/>
      <c r="N21" s="187" t="s">
        <v>109</v>
      </c>
      <c r="O21" s="177">
        <v>6670</v>
      </c>
      <c r="P21" s="177">
        <f t="shared" si="1"/>
        <v>230</v>
      </c>
      <c r="Q21" s="177">
        <f t="shared" si="1"/>
        <v>7</v>
      </c>
      <c r="R21" s="177">
        <f t="shared" si="4"/>
        <v>2785</v>
      </c>
      <c r="S21" s="177">
        <f t="shared" si="5"/>
        <v>5340</v>
      </c>
      <c r="T21" s="178">
        <f t="shared" si="6"/>
        <v>7895</v>
      </c>
      <c r="U21" s="77"/>
      <c r="V21" s="77"/>
      <c r="W21" s="77"/>
    </row>
    <row r="22" spans="2:23" s="76" customFormat="1" ht="17.25" customHeight="1">
      <c r="B22" s="130" t="s">
        <v>110</v>
      </c>
      <c r="C22" s="394"/>
      <c r="D22" s="398">
        <v>2.8</v>
      </c>
      <c r="E22" s="459">
        <f t="shared" si="0"/>
        <v>0</v>
      </c>
      <c r="F22" s="395">
        <v>200</v>
      </c>
      <c r="G22" s="396">
        <v>6</v>
      </c>
      <c r="H22" s="397">
        <f t="shared" si="2"/>
        <v>0</v>
      </c>
      <c r="I22" s="397">
        <f t="shared" si="3"/>
        <v>0</v>
      </c>
      <c r="J22" s="123">
        <v>6300</v>
      </c>
      <c r="K22" s="90"/>
      <c r="L22" s="113"/>
      <c r="M22" s="113"/>
      <c r="N22" s="187" t="s">
        <v>110</v>
      </c>
      <c r="O22" s="177">
        <v>5880</v>
      </c>
      <c r="P22" s="177">
        <f t="shared" si="1"/>
        <v>200</v>
      </c>
      <c r="Q22" s="177">
        <f>G22</f>
        <v>6</v>
      </c>
      <c r="R22" s="177">
        <f t="shared" si="4"/>
        <v>2390</v>
      </c>
      <c r="S22" s="177">
        <f t="shared" si="5"/>
        <v>4580</v>
      </c>
      <c r="T22" s="178">
        <f t="shared" si="6"/>
        <v>6770</v>
      </c>
      <c r="U22" s="77"/>
      <c r="V22" s="77"/>
      <c r="W22" s="77"/>
    </row>
    <row r="23" spans="2:23" s="76" customFormat="1" ht="17.25" customHeight="1">
      <c r="B23" s="505" t="s">
        <v>111</v>
      </c>
      <c r="C23" s="506">
        <v>2050</v>
      </c>
      <c r="D23" s="507">
        <v>2.2000000000000002</v>
      </c>
      <c r="E23" s="508">
        <f t="shared" si="0"/>
        <v>4510</v>
      </c>
      <c r="F23" s="509">
        <v>170</v>
      </c>
      <c r="G23" s="510">
        <v>5</v>
      </c>
      <c r="H23" s="485">
        <f t="shared" si="2"/>
        <v>348500</v>
      </c>
      <c r="I23" s="485">
        <f t="shared" si="3"/>
        <v>10250</v>
      </c>
      <c r="J23" s="511">
        <v>5500</v>
      </c>
      <c r="K23" s="512"/>
      <c r="L23" s="113"/>
      <c r="M23" s="113"/>
      <c r="N23" s="187" t="s">
        <v>111</v>
      </c>
      <c r="O23" s="177">
        <v>5140</v>
      </c>
      <c r="P23" s="177">
        <f t="shared" si="1"/>
        <v>170</v>
      </c>
      <c r="Q23" s="177">
        <f t="shared" si="1"/>
        <v>5</v>
      </c>
      <c r="R23" s="177">
        <f t="shared" si="4"/>
        <v>1995</v>
      </c>
      <c r="S23" s="177">
        <f t="shared" si="5"/>
        <v>3820</v>
      </c>
      <c r="T23" s="178">
        <f t="shared" si="6"/>
        <v>5645</v>
      </c>
      <c r="U23" s="77"/>
      <c r="V23" s="77"/>
      <c r="W23" s="77"/>
    </row>
    <row r="24" spans="2:23" s="76" customFormat="1" ht="17.25" customHeight="1">
      <c r="B24" s="130" t="s">
        <v>112</v>
      </c>
      <c r="C24" s="394"/>
      <c r="D24" s="398">
        <v>1.5</v>
      </c>
      <c r="E24" s="459">
        <f t="shared" si="0"/>
        <v>0</v>
      </c>
      <c r="F24" s="395">
        <v>140</v>
      </c>
      <c r="G24" s="396">
        <v>4</v>
      </c>
      <c r="H24" s="397">
        <f t="shared" si="2"/>
        <v>0</v>
      </c>
      <c r="I24" s="397">
        <f t="shared" si="3"/>
        <v>0</v>
      </c>
      <c r="J24" s="123">
        <v>4720</v>
      </c>
      <c r="K24" s="90"/>
      <c r="L24" s="113"/>
      <c r="M24" s="113"/>
      <c r="N24" s="187" t="s">
        <v>112</v>
      </c>
      <c r="O24" s="177">
        <v>4410</v>
      </c>
      <c r="P24" s="177">
        <f t="shared" si="1"/>
        <v>140</v>
      </c>
      <c r="Q24" s="177">
        <f>G24</f>
        <v>4</v>
      </c>
      <c r="R24" s="177">
        <f t="shared" si="4"/>
        <v>1600</v>
      </c>
      <c r="S24" s="177">
        <f t="shared" si="5"/>
        <v>3060</v>
      </c>
      <c r="T24" s="178">
        <f t="shared" si="6"/>
        <v>4520</v>
      </c>
      <c r="U24" s="77"/>
      <c r="V24" s="77"/>
      <c r="W24" s="77"/>
    </row>
    <row r="25" spans="2:23" s="76" customFormat="1" ht="17.25" customHeight="1">
      <c r="B25" s="130" t="s">
        <v>113</v>
      </c>
      <c r="C25" s="394"/>
      <c r="D25" s="398">
        <v>1.2</v>
      </c>
      <c r="E25" s="459">
        <f t="shared" si="0"/>
        <v>0</v>
      </c>
      <c r="F25" s="395">
        <v>120</v>
      </c>
      <c r="G25" s="396">
        <v>4</v>
      </c>
      <c r="H25" s="397">
        <f t="shared" si="2"/>
        <v>0</v>
      </c>
      <c r="I25" s="397">
        <f t="shared" si="3"/>
        <v>0</v>
      </c>
      <c r="J25" s="123">
        <v>4180</v>
      </c>
      <c r="K25" s="90"/>
      <c r="L25" s="113"/>
      <c r="M25" s="113"/>
      <c r="N25" s="187" t="s">
        <v>113</v>
      </c>
      <c r="O25" s="177">
        <v>3900</v>
      </c>
      <c r="P25" s="177">
        <f t="shared" si="1"/>
        <v>120</v>
      </c>
      <c r="Q25" s="177">
        <f>G25</f>
        <v>4</v>
      </c>
      <c r="R25" s="177">
        <f t="shared" si="4"/>
        <v>1580</v>
      </c>
      <c r="S25" s="177">
        <f t="shared" si="5"/>
        <v>3040</v>
      </c>
      <c r="T25" s="178">
        <f t="shared" si="6"/>
        <v>4500</v>
      </c>
      <c r="U25" s="77"/>
      <c r="V25" s="77"/>
      <c r="W25" s="77"/>
    </row>
    <row r="26" spans="2:23" s="76" customFormat="1" ht="17.25" customHeight="1" thickBot="1">
      <c r="B26" s="488" t="s">
        <v>114</v>
      </c>
      <c r="C26" s="489">
        <v>1370</v>
      </c>
      <c r="D26" s="490">
        <v>0.8</v>
      </c>
      <c r="E26" s="491">
        <f t="shared" si="0"/>
        <v>1096</v>
      </c>
      <c r="F26" s="492">
        <v>110</v>
      </c>
      <c r="G26" s="493">
        <v>3</v>
      </c>
      <c r="H26" s="494">
        <f t="shared" si="2"/>
        <v>150700</v>
      </c>
      <c r="I26" s="494">
        <f t="shared" si="3"/>
        <v>4110</v>
      </c>
      <c r="J26" s="495">
        <v>3740</v>
      </c>
      <c r="K26" s="496"/>
      <c r="L26" s="113"/>
      <c r="M26" s="113"/>
      <c r="N26" s="196" t="s">
        <v>114</v>
      </c>
      <c r="O26" s="180">
        <v>3500</v>
      </c>
      <c r="P26" s="180">
        <f t="shared" si="1"/>
        <v>110</v>
      </c>
      <c r="Q26" s="180">
        <f t="shared" si="1"/>
        <v>3</v>
      </c>
      <c r="R26" s="180">
        <f t="shared" si="4"/>
        <v>1205</v>
      </c>
      <c r="S26" s="180">
        <f t="shared" si="5"/>
        <v>2300</v>
      </c>
      <c r="T26" s="181">
        <f t="shared" si="6"/>
        <v>3395</v>
      </c>
      <c r="U26" s="77"/>
      <c r="V26" s="77"/>
      <c r="W26" s="77"/>
    </row>
    <row r="27" spans="2:23" s="76" customFormat="1" ht="17.25" customHeight="1" thickTop="1">
      <c r="B27" s="497" t="s">
        <v>115</v>
      </c>
      <c r="C27" s="498">
        <v>260</v>
      </c>
      <c r="D27" s="498">
        <v>4</v>
      </c>
      <c r="E27" s="499">
        <f t="shared" si="0"/>
        <v>1040</v>
      </c>
      <c r="F27" s="500">
        <v>300</v>
      </c>
      <c r="G27" s="501">
        <v>7</v>
      </c>
      <c r="H27" s="502">
        <f t="shared" si="2"/>
        <v>78000</v>
      </c>
      <c r="I27" s="502">
        <f t="shared" si="3"/>
        <v>1820</v>
      </c>
      <c r="J27" s="503">
        <v>15170</v>
      </c>
      <c r="K27" s="504"/>
      <c r="L27" s="113"/>
      <c r="M27" s="113"/>
      <c r="N27" s="197" t="s">
        <v>115</v>
      </c>
      <c r="O27" s="175">
        <v>15930</v>
      </c>
      <c r="P27" s="175">
        <f t="shared" ref="P27:Q52" si="7">F27</f>
        <v>300</v>
      </c>
      <c r="Q27" s="175">
        <f>G27</f>
        <v>7</v>
      </c>
      <c r="R27" s="175">
        <f t="shared" si="4"/>
        <v>2855</v>
      </c>
      <c r="S27" s="175">
        <f t="shared" si="5"/>
        <v>5410</v>
      </c>
      <c r="T27" s="176">
        <f t="shared" si="6"/>
        <v>7965</v>
      </c>
      <c r="U27" s="77"/>
      <c r="V27" s="77"/>
      <c r="W27" s="77"/>
    </row>
    <row r="28" spans="2:23" s="76" customFormat="1" ht="17.25" customHeight="1">
      <c r="B28" s="130" t="s">
        <v>116</v>
      </c>
      <c r="C28" s="394"/>
      <c r="D28" s="398">
        <v>23.8</v>
      </c>
      <c r="E28" s="459">
        <f t="shared" si="0"/>
        <v>0</v>
      </c>
      <c r="F28" s="395">
        <v>2100</v>
      </c>
      <c r="G28" s="396">
        <v>55</v>
      </c>
      <c r="H28" s="397">
        <f t="shared" si="2"/>
        <v>0</v>
      </c>
      <c r="I28" s="397">
        <f t="shared" si="3"/>
        <v>0</v>
      </c>
      <c r="J28" s="123">
        <v>53500</v>
      </c>
      <c r="K28" s="90"/>
      <c r="L28" s="113"/>
      <c r="M28" s="113"/>
      <c r="N28" s="187" t="s">
        <v>116</v>
      </c>
      <c r="O28" s="177">
        <v>63130</v>
      </c>
      <c r="P28" s="177">
        <f t="shared" si="7"/>
        <v>2100</v>
      </c>
      <c r="Q28" s="177">
        <f t="shared" si="7"/>
        <v>55</v>
      </c>
      <c r="R28" s="177">
        <f t="shared" si="4"/>
        <v>22175</v>
      </c>
      <c r="S28" s="177">
        <f t="shared" si="5"/>
        <v>42250</v>
      </c>
      <c r="T28" s="178">
        <f t="shared" si="6"/>
        <v>62325</v>
      </c>
      <c r="U28" s="77"/>
      <c r="V28" s="77"/>
      <c r="W28" s="77"/>
    </row>
    <row r="29" spans="2:23" s="76" customFormat="1" ht="17.25" customHeight="1">
      <c r="B29" s="130" t="s">
        <v>117</v>
      </c>
      <c r="C29" s="394"/>
      <c r="D29" s="394">
        <v>21</v>
      </c>
      <c r="E29" s="459">
        <f t="shared" si="0"/>
        <v>0</v>
      </c>
      <c r="F29" s="401">
        <v>2100</v>
      </c>
      <c r="G29" s="396">
        <v>55</v>
      </c>
      <c r="H29" s="397">
        <f t="shared" si="2"/>
        <v>0</v>
      </c>
      <c r="I29" s="397">
        <f t="shared" si="3"/>
        <v>0</v>
      </c>
      <c r="J29" s="123">
        <v>49220</v>
      </c>
      <c r="K29" s="90"/>
      <c r="L29" s="113"/>
      <c r="M29" s="113"/>
      <c r="N29" s="187" t="s">
        <v>117</v>
      </c>
      <c r="O29" s="177">
        <v>58850</v>
      </c>
      <c r="P29" s="177">
        <f t="shared" si="7"/>
        <v>2100</v>
      </c>
      <c r="Q29" s="177">
        <f>G29</f>
        <v>55</v>
      </c>
      <c r="R29" s="177">
        <f t="shared" si="4"/>
        <v>22175</v>
      </c>
      <c r="S29" s="177">
        <f t="shared" si="5"/>
        <v>42250</v>
      </c>
      <c r="T29" s="178">
        <f t="shared" si="6"/>
        <v>62325</v>
      </c>
      <c r="U29" s="77"/>
      <c r="V29" s="77"/>
      <c r="W29" s="77"/>
    </row>
    <row r="30" spans="2:23" s="76" customFormat="1" ht="17.25" customHeight="1">
      <c r="B30" s="130" t="s">
        <v>118</v>
      </c>
      <c r="C30" s="394"/>
      <c r="D30" s="398">
        <v>5.7</v>
      </c>
      <c r="E30" s="459">
        <f t="shared" si="0"/>
        <v>0</v>
      </c>
      <c r="F30" s="395">
        <v>658</v>
      </c>
      <c r="G30" s="396">
        <v>17</v>
      </c>
      <c r="H30" s="397">
        <f t="shared" si="2"/>
        <v>0</v>
      </c>
      <c r="I30" s="397">
        <f t="shared" si="3"/>
        <v>0</v>
      </c>
      <c r="J30" s="123">
        <v>35340</v>
      </c>
      <c r="K30" s="90"/>
      <c r="L30" s="113"/>
      <c r="M30" s="113"/>
      <c r="N30" s="187" t="s">
        <v>118</v>
      </c>
      <c r="O30" s="177">
        <v>37110</v>
      </c>
      <c r="P30" s="177">
        <f t="shared" si="7"/>
        <v>658</v>
      </c>
      <c r="Q30" s="177">
        <f t="shared" si="7"/>
        <v>17</v>
      </c>
      <c r="R30" s="177">
        <f t="shared" si="4"/>
        <v>6863</v>
      </c>
      <c r="S30" s="177">
        <f t="shared" si="5"/>
        <v>13068</v>
      </c>
      <c r="T30" s="178">
        <f t="shared" si="6"/>
        <v>19273</v>
      </c>
      <c r="U30" s="77"/>
      <c r="V30" s="77"/>
      <c r="W30" s="77"/>
    </row>
    <row r="31" spans="2:23" s="76" customFormat="1" ht="17.25" customHeight="1" thickBot="1">
      <c r="B31" s="382" t="s">
        <v>119</v>
      </c>
      <c r="C31" s="383"/>
      <c r="D31" s="399">
        <v>5.2</v>
      </c>
      <c r="E31" s="457">
        <f t="shared" si="0"/>
        <v>0</v>
      </c>
      <c r="F31" s="385">
        <v>483</v>
      </c>
      <c r="G31" s="386">
        <v>21</v>
      </c>
      <c r="H31" s="387">
        <f t="shared" si="2"/>
        <v>0</v>
      </c>
      <c r="I31" s="387">
        <f t="shared" si="3"/>
        <v>0</v>
      </c>
      <c r="J31" s="388">
        <v>35030</v>
      </c>
      <c r="K31" s="389"/>
      <c r="L31" s="113"/>
      <c r="M31" s="113"/>
      <c r="N31" s="196" t="s">
        <v>119</v>
      </c>
      <c r="O31" s="180">
        <v>36790</v>
      </c>
      <c r="P31" s="180">
        <f t="shared" si="7"/>
        <v>483</v>
      </c>
      <c r="Q31" s="180">
        <f>G31</f>
        <v>21</v>
      </c>
      <c r="R31" s="180">
        <f t="shared" si="4"/>
        <v>8148</v>
      </c>
      <c r="S31" s="180">
        <f t="shared" si="5"/>
        <v>15813</v>
      </c>
      <c r="T31" s="181">
        <f t="shared" si="6"/>
        <v>23478</v>
      </c>
      <c r="U31" s="77"/>
      <c r="V31" s="77"/>
      <c r="W31" s="77"/>
    </row>
    <row r="32" spans="2:23" s="76" customFormat="1" ht="17.25" customHeight="1" thickTop="1">
      <c r="B32" s="480" t="s">
        <v>120</v>
      </c>
      <c r="C32" s="481">
        <v>270</v>
      </c>
      <c r="D32" s="481">
        <v>13</v>
      </c>
      <c r="E32" s="482">
        <f t="shared" si="0"/>
        <v>3510</v>
      </c>
      <c r="F32" s="483">
        <v>950</v>
      </c>
      <c r="G32" s="484">
        <v>20</v>
      </c>
      <c r="H32" s="485">
        <f t="shared" si="2"/>
        <v>256500</v>
      </c>
      <c r="I32" s="485">
        <f t="shared" si="3"/>
        <v>5400</v>
      </c>
      <c r="J32" s="486">
        <v>25680</v>
      </c>
      <c r="K32" s="487"/>
      <c r="L32" s="113"/>
      <c r="M32" s="113"/>
      <c r="N32" s="197" t="s">
        <v>120</v>
      </c>
      <c r="O32" s="175">
        <v>30500</v>
      </c>
      <c r="P32" s="175">
        <f t="shared" si="7"/>
        <v>950</v>
      </c>
      <c r="Q32" s="175">
        <f>G32</f>
        <v>20</v>
      </c>
      <c r="R32" s="175">
        <f t="shared" si="4"/>
        <v>8250</v>
      </c>
      <c r="S32" s="175">
        <f t="shared" si="5"/>
        <v>15550</v>
      </c>
      <c r="T32" s="176">
        <f t="shared" si="6"/>
        <v>22850</v>
      </c>
      <c r="U32" s="77"/>
      <c r="V32" s="77"/>
      <c r="W32" s="77"/>
    </row>
    <row r="33" spans="2:23" s="76" customFormat="1" ht="17.25" customHeight="1">
      <c r="B33" s="130" t="s">
        <v>121</v>
      </c>
      <c r="C33" s="394"/>
      <c r="D33" s="398">
        <v>12.5</v>
      </c>
      <c r="E33" s="459">
        <f t="shared" si="0"/>
        <v>0</v>
      </c>
      <c r="F33" s="395">
        <v>850</v>
      </c>
      <c r="G33" s="396">
        <v>19</v>
      </c>
      <c r="H33" s="397">
        <f t="shared" si="2"/>
        <v>0</v>
      </c>
      <c r="I33" s="397">
        <f t="shared" si="3"/>
        <v>0</v>
      </c>
      <c r="J33" s="123">
        <v>23010</v>
      </c>
      <c r="K33" s="90"/>
      <c r="L33" s="113"/>
      <c r="M33" s="113"/>
      <c r="N33" s="187" t="s">
        <v>121</v>
      </c>
      <c r="O33" s="177">
        <v>26650</v>
      </c>
      <c r="P33" s="177">
        <f t="shared" si="7"/>
        <v>850</v>
      </c>
      <c r="Q33" s="177">
        <f t="shared" si="7"/>
        <v>19</v>
      </c>
      <c r="R33" s="177">
        <f t="shared" si="4"/>
        <v>7785</v>
      </c>
      <c r="S33" s="177">
        <f t="shared" si="5"/>
        <v>14720</v>
      </c>
      <c r="T33" s="178">
        <f t="shared" si="6"/>
        <v>21655</v>
      </c>
      <c r="U33" s="77"/>
      <c r="V33" s="77"/>
      <c r="W33" s="77"/>
    </row>
    <row r="34" spans="2:23" s="76" customFormat="1" ht="17.25" customHeight="1">
      <c r="B34" s="130" t="s">
        <v>122</v>
      </c>
      <c r="C34" s="394"/>
      <c r="D34" s="398">
        <v>11.2</v>
      </c>
      <c r="E34" s="459">
        <f t="shared" si="0"/>
        <v>0</v>
      </c>
      <c r="F34" s="395">
        <v>790</v>
      </c>
      <c r="G34" s="396">
        <v>18</v>
      </c>
      <c r="H34" s="397">
        <f t="shared" si="2"/>
        <v>0</v>
      </c>
      <c r="I34" s="397">
        <f t="shared" si="3"/>
        <v>0</v>
      </c>
      <c r="J34" s="123">
        <v>20330</v>
      </c>
      <c r="K34" s="90"/>
      <c r="L34" s="113"/>
      <c r="M34" s="113"/>
      <c r="N34" s="187" t="s">
        <v>122</v>
      </c>
      <c r="O34" s="177">
        <v>2330</v>
      </c>
      <c r="P34" s="177">
        <f t="shared" si="7"/>
        <v>790</v>
      </c>
      <c r="Q34" s="177">
        <f>G34</f>
        <v>18</v>
      </c>
      <c r="R34" s="177">
        <f t="shared" si="4"/>
        <v>7360</v>
      </c>
      <c r="S34" s="177">
        <f t="shared" si="5"/>
        <v>13930</v>
      </c>
      <c r="T34" s="178">
        <f t="shared" si="6"/>
        <v>20500</v>
      </c>
      <c r="U34" s="77"/>
      <c r="V34" s="77"/>
      <c r="W34" s="77"/>
    </row>
    <row r="35" spans="2:23" s="76" customFormat="1" ht="17.25" customHeight="1">
      <c r="B35" s="130" t="s">
        <v>123</v>
      </c>
      <c r="C35" s="394"/>
      <c r="D35" s="394">
        <v>9</v>
      </c>
      <c r="E35" s="459">
        <f t="shared" si="0"/>
        <v>0</v>
      </c>
      <c r="F35" s="395">
        <v>760</v>
      </c>
      <c r="G35" s="396">
        <v>15</v>
      </c>
      <c r="H35" s="397">
        <f t="shared" si="2"/>
        <v>0</v>
      </c>
      <c r="I35" s="397">
        <f t="shared" si="3"/>
        <v>0</v>
      </c>
      <c r="J35" s="123">
        <v>17660</v>
      </c>
      <c r="K35" s="90"/>
      <c r="L35" s="113"/>
      <c r="M35" s="113"/>
      <c r="N35" s="187" t="s">
        <v>123</v>
      </c>
      <c r="O35" s="177">
        <v>20120</v>
      </c>
      <c r="P35" s="177">
        <f t="shared" si="7"/>
        <v>760</v>
      </c>
      <c r="Q35" s="177">
        <f t="shared" si="7"/>
        <v>15</v>
      </c>
      <c r="R35" s="177">
        <f t="shared" si="4"/>
        <v>6235</v>
      </c>
      <c r="S35" s="177">
        <f t="shared" si="5"/>
        <v>11710</v>
      </c>
      <c r="T35" s="178">
        <f t="shared" si="6"/>
        <v>17185</v>
      </c>
      <c r="U35" s="77"/>
      <c r="V35" s="77"/>
      <c r="W35" s="77"/>
    </row>
    <row r="36" spans="2:23" s="76" customFormat="1" ht="17.25" customHeight="1" thickBot="1">
      <c r="B36" s="408" t="s">
        <v>124</v>
      </c>
      <c r="C36" s="409"/>
      <c r="D36" s="410">
        <v>7.1</v>
      </c>
      <c r="E36" s="461">
        <f t="shared" si="0"/>
        <v>0</v>
      </c>
      <c r="F36" s="411">
        <v>700</v>
      </c>
      <c r="G36" s="412">
        <v>14</v>
      </c>
      <c r="H36" s="413">
        <f t="shared" si="2"/>
        <v>0</v>
      </c>
      <c r="I36" s="413">
        <f t="shared" si="3"/>
        <v>0</v>
      </c>
      <c r="J36" s="414">
        <v>14980</v>
      </c>
      <c r="K36" s="415"/>
      <c r="L36" s="113"/>
      <c r="M36" s="113"/>
      <c r="N36" s="196" t="s">
        <v>124</v>
      </c>
      <c r="O36" s="180">
        <v>16910</v>
      </c>
      <c r="P36" s="180">
        <f t="shared" si="7"/>
        <v>700</v>
      </c>
      <c r="Q36" s="180">
        <f>G36</f>
        <v>14</v>
      </c>
      <c r="R36" s="180">
        <f t="shared" si="4"/>
        <v>5810</v>
      </c>
      <c r="S36" s="180">
        <f t="shared" si="5"/>
        <v>10920</v>
      </c>
      <c r="T36" s="181">
        <f t="shared" si="6"/>
        <v>16030</v>
      </c>
      <c r="U36" s="77"/>
      <c r="V36" s="77"/>
      <c r="W36" s="77"/>
    </row>
    <row r="37" spans="2:23" s="76" customFormat="1" ht="17.25" customHeight="1" thickTop="1">
      <c r="B37" s="171" t="s">
        <v>125</v>
      </c>
      <c r="C37" s="400"/>
      <c r="D37" s="400">
        <v>12</v>
      </c>
      <c r="E37" s="458">
        <f t="shared" si="0"/>
        <v>0</v>
      </c>
      <c r="F37" s="391">
        <v>860</v>
      </c>
      <c r="G37" s="392">
        <v>18</v>
      </c>
      <c r="H37" s="393">
        <f t="shared" si="2"/>
        <v>0</v>
      </c>
      <c r="I37" s="393">
        <f t="shared" si="3"/>
        <v>0</v>
      </c>
      <c r="J37" s="172">
        <v>21940</v>
      </c>
      <c r="K37" s="173"/>
      <c r="L37" s="113"/>
      <c r="M37" s="113"/>
      <c r="N37" s="198" t="s">
        <v>125</v>
      </c>
      <c r="O37" s="184">
        <v>26650</v>
      </c>
      <c r="P37" s="184">
        <f t="shared" si="7"/>
        <v>860</v>
      </c>
      <c r="Q37" s="184">
        <f>G37</f>
        <v>18</v>
      </c>
      <c r="R37" s="184">
        <f t="shared" si="4"/>
        <v>7430</v>
      </c>
      <c r="S37" s="184">
        <f t="shared" si="5"/>
        <v>14000</v>
      </c>
      <c r="T37" s="185">
        <f t="shared" si="6"/>
        <v>20570</v>
      </c>
      <c r="U37" s="77"/>
      <c r="V37" s="77"/>
      <c r="W37" s="77"/>
    </row>
    <row r="38" spans="2:23" s="76" customFormat="1" ht="17.25" customHeight="1">
      <c r="B38" s="130" t="s">
        <v>126</v>
      </c>
      <c r="C38" s="394"/>
      <c r="D38" s="398">
        <v>11.3</v>
      </c>
      <c r="E38" s="459">
        <f t="shared" si="0"/>
        <v>0</v>
      </c>
      <c r="F38" s="395">
        <v>810</v>
      </c>
      <c r="G38" s="396">
        <v>17</v>
      </c>
      <c r="H38" s="397">
        <f t="shared" si="2"/>
        <v>0</v>
      </c>
      <c r="I38" s="397">
        <f t="shared" si="3"/>
        <v>0</v>
      </c>
      <c r="J38" s="123">
        <v>19800</v>
      </c>
      <c r="K38" s="90"/>
      <c r="L38" s="113"/>
      <c r="M38" s="113"/>
      <c r="N38" s="187" t="s">
        <v>126</v>
      </c>
      <c r="O38" s="177">
        <v>23540</v>
      </c>
      <c r="P38" s="177">
        <f t="shared" si="7"/>
        <v>810</v>
      </c>
      <c r="Q38" s="177">
        <f t="shared" si="7"/>
        <v>17</v>
      </c>
      <c r="R38" s="177">
        <f t="shared" si="4"/>
        <v>7015</v>
      </c>
      <c r="S38" s="177">
        <f t="shared" si="5"/>
        <v>13220</v>
      </c>
      <c r="T38" s="178">
        <f t="shared" si="6"/>
        <v>19425</v>
      </c>
      <c r="U38" s="77"/>
      <c r="V38" s="77"/>
      <c r="W38" s="77"/>
    </row>
    <row r="39" spans="2:23" s="76" customFormat="1" ht="17.25" customHeight="1">
      <c r="B39" s="130" t="s">
        <v>127</v>
      </c>
      <c r="C39" s="394"/>
      <c r="D39" s="398">
        <v>9.6999999999999993</v>
      </c>
      <c r="E39" s="459">
        <f t="shared" si="0"/>
        <v>0</v>
      </c>
      <c r="F39" s="395">
        <v>780</v>
      </c>
      <c r="G39" s="396">
        <v>16</v>
      </c>
      <c r="H39" s="397">
        <f t="shared" si="2"/>
        <v>0</v>
      </c>
      <c r="I39" s="397">
        <f t="shared" si="3"/>
        <v>0</v>
      </c>
      <c r="J39" s="123">
        <v>17660</v>
      </c>
      <c r="K39" s="90"/>
      <c r="L39" s="113"/>
      <c r="M39" s="113"/>
      <c r="N39" s="187" t="s">
        <v>127</v>
      </c>
      <c r="O39" s="177">
        <v>20760</v>
      </c>
      <c r="P39" s="177">
        <f t="shared" si="7"/>
        <v>780</v>
      </c>
      <c r="Q39" s="177">
        <f>G39</f>
        <v>16</v>
      </c>
      <c r="R39" s="177">
        <f t="shared" si="4"/>
        <v>6620</v>
      </c>
      <c r="S39" s="177">
        <f t="shared" si="5"/>
        <v>12460</v>
      </c>
      <c r="T39" s="178">
        <f t="shared" si="6"/>
        <v>18300</v>
      </c>
      <c r="U39" s="77"/>
      <c r="V39" s="77"/>
      <c r="W39" s="77"/>
    </row>
    <row r="40" spans="2:23" s="76" customFormat="1" ht="17.25" customHeight="1">
      <c r="B40" s="130" t="s">
        <v>128</v>
      </c>
      <c r="C40" s="394"/>
      <c r="D40" s="398">
        <v>8.1</v>
      </c>
      <c r="E40" s="459">
        <f t="shared" si="0"/>
        <v>0</v>
      </c>
      <c r="F40" s="395">
        <v>700</v>
      </c>
      <c r="G40" s="396">
        <v>14</v>
      </c>
      <c r="H40" s="397">
        <f t="shared" si="2"/>
        <v>0</v>
      </c>
      <c r="I40" s="397">
        <f t="shared" si="3"/>
        <v>0</v>
      </c>
      <c r="J40" s="123">
        <v>15520</v>
      </c>
      <c r="K40" s="90"/>
      <c r="L40" s="113"/>
      <c r="M40" s="113"/>
      <c r="N40" s="187" t="s">
        <v>128</v>
      </c>
      <c r="O40" s="177">
        <v>17980</v>
      </c>
      <c r="P40" s="177">
        <f t="shared" si="7"/>
        <v>700</v>
      </c>
      <c r="Q40" s="177">
        <f t="shared" si="7"/>
        <v>14</v>
      </c>
      <c r="R40" s="177">
        <f t="shared" si="4"/>
        <v>5810</v>
      </c>
      <c r="S40" s="177">
        <f t="shared" si="5"/>
        <v>10920</v>
      </c>
      <c r="T40" s="178">
        <f t="shared" si="6"/>
        <v>16030</v>
      </c>
      <c r="U40" s="77"/>
      <c r="V40" s="77"/>
      <c r="W40" s="77"/>
    </row>
    <row r="41" spans="2:23" s="76" customFormat="1" ht="17.25" customHeight="1">
      <c r="B41" s="130" t="s">
        <v>129</v>
      </c>
      <c r="C41" s="394"/>
      <c r="D41" s="398">
        <v>6.2</v>
      </c>
      <c r="E41" s="459">
        <f t="shared" si="0"/>
        <v>0</v>
      </c>
      <c r="F41" s="401">
        <v>650</v>
      </c>
      <c r="G41" s="396">
        <v>12</v>
      </c>
      <c r="H41" s="397">
        <f t="shared" si="2"/>
        <v>0</v>
      </c>
      <c r="I41" s="397">
        <f t="shared" si="3"/>
        <v>0</v>
      </c>
      <c r="J41" s="123">
        <v>13380</v>
      </c>
      <c r="K41" s="90"/>
      <c r="L41" s="113"/>
      <c r="M41" s="113"/>
      <c r="N41" s="187" t="s">
        <v>129</v>
      </c>
      <c r="O41" s="179">
        <v>15090</v>
      </c>
      <c r="P41" s="177">
        <f t="shared" si="7"/>
        <v>650</v>
      </c>
      <c r="Q41" s="177">
        <f>G41</f>
        <v>12</v>
      </c>
      <c r="R41" s="179">
        <f t="shared" si="4"/>
        <v>5030</v>
      </c>
      <c r="S41" s="177">
        <f t="shared" si="5"/>
        <v>9410</v>
      </c>
      <c r="T41" s="178">
        <f t="shared" si="6"/>
        <v>13790</v>
      </c>
      <c r="U41" s="77"/>
      <c r="V41" s="77"/>
      <c r="W41" s="77"/>
    </row>
    <row r="42" spans="2:23" s="76" customFormat="1" ht="17.25" customHeight="1" thickBot="1">
      <c r="B42" s="382" t="s">
        <v>130</v>
      </c>
      <c r="C42" s="383"/>
      <c r="D42" s="399">
        <v>9</v>
      </c>
      <c r="E42" s="457">
        <f t="shared" si="0"/>
        <v>0</v>
      </c>
      <c r="F42" s="385">
        <v>800</v>
      </c>
      <c r="G42" s="386">
        <v>19</v>
      </c>
      <c r="H42" s="387">
        <f t="shared" si="2"/>
        <v>0</v>
      </c>
      <c r="I42" s="387">
        <f t="shared" si="3"/>
        <v>0</v>
      </c>
      <c r="J42" s="388">
        <v>17660</v>
      </c>
      <c r="K42" s="389"/>
      <c r="L42" s="113"/>
      <c r="M42" s="113"/>
      <c r="N42" s="196" t="s">
        <v>130</v>
      </c>
      <c r="O42" s="180">
        <v>20120</v>
      </c>
      <c r="P42" s="180">
        <f t="shared" si="7"/>
        <v>800</v>
      </c>
      <c r="Q42" s="177">
        <f>G42</f>
        <v>19</v>
      </c>
      <c r="R42" s="180">
        <f t="shared" si="4"/>
        <v>7735</v>
      </c>
      <c r="S42" s="180">
        <f t="shared" si="5"/>
        <v>14670</v>
      </c>
      <c r="T42" s="181">
        <f t="shared" si="6"/>
        <v>21605</v>
      </c>
      <c r="U42" s="77"/>
      <c r="V42" s="77"/>
      <c r="W42" s="77"/>
    </row>
    <row r="43" spans="2:23" s="76" customFormat="1" ht="17.25" customHeight="1" thickTop="1">
      <c r="B43" s="171" t="s">
        <v>131</v>
      </c>
      <c r="C43" s="400"/>
      <c r="D43" s="390"/>
      <c r="E43" s="458">
        <f t="shared" si="0"/>
        <v>0</v>
      </c>
      <c r="F43" s="391">
        <v>150</v>
      </c>
      <c r="G43" s="392">
        <v>1</v>
      </c>
      <c r="H43" s="393">
        <f t="shared" si="2"/>
        <v>0</v>
      </c>
      <c r="I43" s="393">
        <f t="shared" si="3"/>
        <v>0</v>
      </c>
      <c r="J43" s="172">
        <v>1600</v>
      </c>
      <c r="K43" s="173"/>
      <c r="L43" s="113"/>
      <c r="M43" s="113"/>
      <c r="N43" s="197" t="s">
        <v>131</v>
      </c>
      <c r="O43" s="175">
        <v>1200</v>
      </c>
      <c r="P43" s="175">
        <f t="shared" si="7"/>
        <v>150</v>
      </c>
      <c r="Q43" s="177">
        <f t="shared" si="7"/>
        <v>1</v>
      </c>
      <c r="R43" s="175">
        <f t="shared" si="4"/>
        <v>515</v>
      </c>
      <c r="S43" s="175">
        <f t="shared" si="5"/>
        <v>880</v>
      </c>
      <c r="T43" s="176">
        <f t="shared" si="6"/>
        <v>1245</v>
      </c>
      <c r="U43" s="77"/>
      <c r="V43" s="77"/>
      <c r="W43" s="77"/>
    </row>
    <row r="44" spans="2:23" s="76" customFormat="1" ht="17.25" customHeight="1" thickBot="1">
      <c r="B44" s="382" t="s">
        <v>132</v>
      </c>
      <c r="C44" s="383"/>
      <c r="D44" s="384"/>
      <c r="E44" s="457">
        <f t="shared" si="0"/>
        <v>0</v>
      </c>
      <c r="F44" s="385">
        <v>150</v>
      </c>
      <c r="G44" s="386">
        <v>1</v>
      </c>
      <c r="H44" s="387">
        <f t="shared" si="2"/>
        <v>0</v>
      </c>
      <c r="I44" s="387">
        <f t="shared" si="3"/>
        <v>0</v>
      </c>
      <c r="J44" s="388">
        <v>2400</v>
      </c>
      <c r="K44" s="389"/>
      <c r="L44" s="113"/>
      <c r="M44" s="113"/>
      <c r="N44" s="196" t="s">
        <v>132</v>
      </c>
      <c r="O44" s="180">
        <v>1200</v>
      </c>
      <c r="P44" s="180">
        <f t="shared" si="7"/>
        <v>150</v>
      </c>
      <c r="Q44" s="180">
        <f>G44</f>
        <v>1</v>
      </c>
      <c r="R44" s="180">
        <f t="shared" si="4"/>
        <v>515</v>
      </c>
      <c r="S44" s="180">
        <f t="shared" si="5"/>
        <v>880</v>
      </c>
      <c r="T44" s="181">
        <f t="shared" si="6"/>
        <v>1245</v>
      </c>
      <c r="U44" s="77"/>
      <c r="V44" s="77"/>
      <c r="W44" s="77"/>
    </row>
    <row r="45" spans="2:23" s="76" customFormat="1" ht="17.25" customHeight="1" thickTop="1">
      <c r="B45" s="402" t="s">
        <v>133</v>
      </c>
      <c r="C45" s="403"/>
      <c r="D45" s="403">
        <v>9</v>
      </c>
      <c r="E45" s="460">
        <f t="shared" si="0"/>
        <v>0</v>
      </c>
      <c r="F45" s="404">
        <v>1200</v>
      </c>
      <c r="G45" s="405">
        <v>30</v>
      </c>
      <c r="H45" s="397">
        <f t="shared" si="2"/>
        <v>0</v>
      </c>
      <c r="I45" s="397">
        <f t="shared" si="3"/>
        <v>0</v>
      </c>
      <c r="J45" s="406">
        <v>50290</v>
      </c>
      <c r="K45" s="407"/>
      <c r="L45" s="113"/>
      <c r="M45" s="113"/>
      <c r="N45" s="198" t="s">
        <v>133</v>
      </c>
      <c r="O45" s="184">
        <v>53500</v>
      </c>
      <c r="P45" s="184">
        <f t="shared" si="7"/>
        <v>1200</v>
      </c>
      <c r="Q45" s="184">
        <f t="shared" si="7"/>
        <v>30</v>
      </c>
      <c r="R45" s="184">
        <f t="shared" si="4"/>
        <v>12150</v>
      </c>
      <c r="S45" s="184">
        <f t="shared" si="5"/>
        <v>23100</v>
      </c>
      <c r="T45" s="185">
        <f t="shared" si="6"/>
        <v>34050</v>
      </c>
      <c r="U45" s="77"/>
      <c r="V45" s="77"/>
      <c r="W45" s="77"/>
    </row>
    <row r="46" spans="2:23" s="76" customFormat="1" ht="17.25" customHeight="1" thickBot="1">
      <c r="B46" s="408" t="s">
        <v>134</v>
      </c>
      <c r="C46" s="409"/>
      <c r="D46" s="409">
        <v>7</v>
      </c>
      <c r="E46" s="461">
        <f t="shared" si="0"/>
        <v>0</v>
      </c>
      <c r="F46" s="411">
        <v>700</v>
      </c>
      <c r="G46" s="412">
        <v>15</v>
      </c>
      <c r="H46" s="413">
        <f t="shared" si="2"/>
        <v>0</v>
      </c>
      <c r="I46" s="413">
        <f t="shared" si="3"/>
        <v>0</v>
      </c>
      <c r="J46" s="414">
        <v>18520</v>
      </c>
      <c r="K46" s="415"/>
      <c r="L46" s="113"/>
      <c r="M46" s="113"/>
      <c r="N46" s="192" t="s">
        <v>134</v>
      </c>
      <c r="O46" s="193">
        <v>18730</v>
      </c>
      <c r="P46" s="193">
        <f t="shared" si="7"/>
        <v>700</v>
      </c>
      <c r="Q46" s="193">
        <f>G46</f>
        <v>15</v>
      </c>
      <c r="R46" s="193">
        <f t="shared" si="4"/>
        <v>6175</v>
      </c>
      <c r="S46" s="193">
        <f t="shared" si="5"/>
        <v>11650</v>
      </c>
      <c r="T46" s="194">
        <f t="shared" si="6"/>
        <v>17125</v>
      </c>
      <c r="U46" s="77"/>
      <c r="V46" s="77"/>
      <c r="W46" s="77"/>
    </row>
    <row r="47" spans="2:23" s="76" customFormat="1" ht="17.25" customHeight="1" thickTop="1">
      <c r="B47" s="171" t="s">
        <v>135</v>
      </c>
      <c r="C47" s="400"/>
      <c r="D47" s="416">
        <v>2.2000000000000002</v>
      </c>
      <c r="E47" s="458">
        <f t="shared" si="0"/>
        <v>0</v>
      </c>
      <c r="F47" s="391">
        <v>245</v>
      </c>
      <c r="G47" s="392">
        <v>12</v>
      </c>
      <c r="H47" s="393">
        <f t="shared" si="2"/>
        <v>0</v>
      </c>
      <c r="I47" s="393">
        <f t="shared" si="3"/>
        <v>0</v>
      </c>
      <c r="J47" s="172">
        <v>7870</v>
      </c>
      <c r="K47" s="173"/>
      <c r="L47" s="114"/>
      <c r="M47" s="114"/>
      <c r="N47" s="195" t="s">
        <v>135</v>
      </c>
      <c r="O47" s="175">
        <v>7600</v>
      </c>
      <c r="P47" s="175">
        <f t="shared" si="7"/>
        <v>245</v>
      </c>
      <c r="Q47" s="175">
        <f>G47</f>
        <v>12</v>
      </c>
      <c r="R47" s="175">
        <f t="shared" si="4"/>
        <v>4625</v>
      </c>
      <c r="S47" s="175">
        <f t="shared" si="5"/>
        <v>9005</v>
      </c>
      <c r="T47" s="176">
        <f t="shared" si="6"/>
        <v>13385</v>
      </c>
      <c r="U47" s="77"/>
      <c r="V47" s="77"/>
      <c r="W47" s="77"/>
    </row>
    <row r="48" spans="2:23" s="76" customFormat="1" ht="17.25" customHeight="1">
      <c r="B48" s="130" t="s">
        <v>136</v>
      </c>
      <c r="C48" s="394"/>
      <c r="D48" s="398">
        <v>1.9</v>
      </c>
      <c r="E48" s="459">
        <f t="shared" si="0"/>
        <v>0</v>
      </c>
      <c r="F48" s="395">
        <v>300</v>
      </c>
      <c r="G48" s="396">
        <v>13</v>
      </c>
      <c r="H48" s="397">
        <f t="shared" si="2"/>
        <v>0</v>
      </c>
      <c r="I48" s="397">
        <f t="shared" si="3"/>
        <v>0</v>
      </c>
      <c r="J48" s="123">
        <v>8370</v>
      </c>
      <c r="K48" s="90"/>
      <c r="L48" s="114"/>
      <c r="M48" s="114"/>
      <c r="N48" s="188" t="s">
        <v>136</v>
      </c>
      <c r="O48" s="177">
        <v>8560</v>
      </c>
      <c r="P48" s="177">
        <f t="shared" si="7"/>
        <v>300</v>
      </c>
      <c r="Q48" s="177">
        <f t="shared" si="7"/>
        <v>13</v>
      </c>
      <c r="R48" s="177">
        <f t="shared" si="4"/>
        <v>5045</v>
      </c>
      <c r="S48" s="177">
        <f t="shared" si="5"/>
        <v>9790</v>
      </c>
      <c r="T48" s="178">
        <f t="shared" si="6"/>
        <v>14535</v>
      </c>
      <c r="U48" s="77"/>
      <c r="V48" s="77"/>
      <c r="W48" s="77"/>
    </row>
    <row r="49" spans="2:23" s="76" customFormat="1" ht="17.25" customHeight="1" thickBot="1">
      <c r="B49" s="382" t="s">
        <v>137</v>
      </c>
      <c r="C49" s="383"/>
      <c r="D49" s="384">
        <v>1.75</v>
      </c>
      <c r="E49" s="457">
        <f t="shared" si="0"/>
        <v>0</v>
      </c>
      <c r="F49" s="385">
        <v>350</v>
      </c>
      <c r="G49" s="386">
        <v>16</v>
      </c>
      <c r="H49" s="387">
        <f t="shared" si="2"/>
        <v>0</v>
      </c>
      <c r="I49" s="387">
        <f t="shared" si="3"/>
        <v>0</v>
      </c>
      <c r="J49" s="388">
        <v>13950</v>
      </c>
      <c r="K49" s="389"/>
      <c r="L49" s="114"/>
      <c r="M49" s="114"/>
      <c r="N49" s="196" t="s">
        <v>137</v>
      </c>
      <c r="O49" s="180">
        <v>9420</v>
      </c>
      <c r="P49" s="180">
        <f t="shared" si="7"/>
        <v>350</v>
      </c>
      <c r="Q49" s="180">
        <f>G49</f>
        <v>16</v>
      </c>
      <c r="R49" s="180">
        <f t="shared" si="4"/>
        <v>6190</v>
      </c>
      <c r="S49" s="180">
        <f t="shared" si="5"/>
        <v>12030</v>
      </c>
      <c r="T49" s="181">
        <f t="shared" si="6"/>
        <v>17870</v>
      </c>
      <c r="U49" s="77"/>
      <c r="V49" s="77"/>
      <c r="W49" s="77"/>
    </row>
    <row r="50" spans="2:23" s="76" customFormat="1" ht="17.25" customHeight="1" thickTop="1">
      <c r="B50" s="199" t="s">
        <v>138</v>
      </c>
      <c r="C50" s="417"/>
      <c r="D50" s="418">
        <v>34.5</v>
      </c>
      <c r="E50" s="462">
        <f t="shared" si="0"/>
        <v>0</v>
      </c>
      <c r="F50" s="419">
        <v>2900</v>
      </c>
      <c r="G50" s="420">
        <v>60</v>
      </c>
      <c r="H50" s="421">
        <f t="shared" si="2"/>
        <v>0</v>
      </c>
      <c r="I50" s="421">
        <f t="shared" si="3"/>
        <v>0</v>
      </c>
      <c r="J50" s="200">
        <v>150000</v>
      </c>
      <c r="K50" s="201"/>
      <c r="L50" s="114"/>
      <c r="M50" s="114"/>
      <c r="N50" s="260" t="s">
        <v>138</v>
      </c>
      <c r="O50" s="184">
        <v>146000</v>
      </c>
      <c r="P50" s="184">
        <f t="shared" si="7"/>
        <v>2900</v>
      </c>
      <c r="Q50" s="184">
        <f t="shared" si="7"/>
        <v>60</v>
      </c>
      <c r="R50" s="184">
        <f t="shared" si="4"/>
        <v>24800</v>
      </c>
      <c r="S50" s="184">
        <f t="shared" si="5"/>
        <v>46700</v>
      </c>
      <c r="T50" s="185">
        <f t="shared" si="6"/>
        <v>68600</v>
      </c>
      <c r="U50" s="77"/>
      <c r="V50" s="77"/>
      <c r="W50" s="77"/>
    </row>
    <row r="51" spans="2:23" s="76" customFormat="1" ht="17.25" customHeight="1">
      <c r="B51" s="261" t="s">
        <v>239</v>
      </c>
      <c r="C51" s="422"/>
      <c r="D51" s="423">
        <v>107</v>
      </c>
      <c r="E51" s="424">
        <f t="shared" si="0"/>
        <v>0</v>
      </c>
      <c r="F51" s="425">
        <v>40000</v>
      </c>
      <c r="G51" s="426">
        <v>400</v>
      </c>
      <c r="H51" s="427">
        <f t="shared" si="2"/>
        <v>0</v>
      </c>
      <c r="I51" s="427">
        <f>G51*C51</f>
        <v>0</v>
      </c>
      <c r="J51" s="262">
        <v>195000</v>
      </c>
      <c r="K51" s="263"/>
      <c r="L51" s="114"/>
      <c r="M51" s="114"/>
      <c r="N51" s="188" t="s">
        <v>240</v>
      </c>
      <c r="O51" s="177">
        <v>124489</v>
      </c>
      <c r="P51" s="177">
        <f t="shared" si="7"/>
        <v>40000</v>
      </c>
      <c r="Q51" s="177">
        <f>G51</f>
        <v>400</v>
      </c>
      <c r="R51" s="177">
        <f t="shared" si="4"/>
        <v>186000</v>
      </c>
      <c r="S51" s="177">
        <f t="shared" si="5"/>
        <v>332000</v>
      </c>
      <c r="T51" s="178">
        <f t="shared" si="6"/>
        <v>478000</v>
      </c>
      <c r="U51" s="77"/>
      <c r="V51" s="77"/>
      <c r="W51" s="77"/>
    </row>
    <row r="52" spans="2:23" s="76" customFormat="1" ht="17.25" customHeight="1">
      <c r="B52" s="202" t="s">
        <v>139</v>
      </c>
      <c r="C52" s="428"/>
      <c r="D52" s="429">
        <v>28.6</v>
      </c>
      <c r="E52" s="463">
        <f t="shared" si="0"/>
        <v>0</v>
      </c>
      <c r="F52" s="430">
        <v>2222</v>
      </c>
      <c r="G52" s="431">
        <v>90</v>
      </c>
      <c r="H52" s="432">
        <f t="shared" si="2"/>
        <v>0</v>
      </c>
      <c r="I52" s="432">
        <f t="shared" si="3"/>
        <v>0</v>
      </c>
      <c r="J52" s="433">
        <v>135000</v>
      </c>
      <c r="K52" s="434"/>
      <c r="L52" s="113"/>
      <c r="M52" s="113"/>
      <c r="N52" s="188" t="s">
        <v>139</v>
      </c>
      <c r="O52" s="177">
        <v>124490</v>
      </c>
      <c r="P52" s="177">
        <f t="shared" si="7"/>
        <v>2222</v>
      </c>
      <c r="Q52" s="177">
        <f>G52</f>
        <v>90</v>
      </c>
      <c r="R52" s="177">
        <f t="shared" si="4"/>
        <v>35072</v>
      </c>
      <c r="S52" s="177">
        <f t="shared" si="5"/>
        <v>67922</v>
      </c>
      <c r="T52" s="178">
        <f t="shared" si="6"/>
        <v>100772</v>
      </c>
      <c r="U52" s="77"/>
      <c r="V52" s="77"/>
      <c r="W52" s="77"/>
    </row>
    <row r="53" spans="2:23" s="76" customFormat="1" ht="17.25" customHeight="1" thickBot="1">
      <c r="B53" s="471" t="s">
        <v>140</v>
      </c>
      <c r="C53" s="472">
        <v>8</v>
      </c>
      <c r="D53" s="473">
        <v>44.6</v>
      </c>
      <c r="E53" s="474">
        <f t="shared" si="0"/>
        <v>356.8</v>
      </c>
      <c r="F53" s="475">
        <v>5837</v>
      </c>
      <c r="G53" s="476">
        <v>130</v>
      </c>
      <c r="H53" s="477">
        <f t="shared" si="2"/>
        <v>46696</v>
      </c>
      <c r="I53" s="477">
        <f t="shared" si="3"/>
        <v>1040</v>
      </c>
      <c r="J53" s="478">
        <v>179000</v>
      </c>
      <c r="K53" s="479"/>
      <c r="L53" s="113"/>
      <c r="M53" s="113"/>
      <c r="N53" s="189" t="s">
        <v>140</v>
      </c>
      <c r="O53" s="190">
        <v>188920</v>
      </c>
      <c r="P53" s="190">
        <f t="shared" ref="P53:Q53" si="8">F53</f>
        <v>5837</v>
      </c>
      <c r="Q53" s="190">
        <f t="shared" si="8"/>
        <v>130</v>
      </c>
      <c r="R53" s="190">
        <f t="shared" si="4"/>
        <v>53287</v>
      </c>
      <c r="S53" s="190">
        <f t="shared" si="5"/>
        <v>100737</v>
      </c>
      <c r="T53" s="191">
        <f t="shared" si="6"/>
        <v>148187</v>
      </c>
      <c r="U53" s="77"/>
      <c r="V53" s="77"/>
      <c r="W53" s="77"/>
    </row>
    <row r="54" spans="2:23" ht="17.25" customHeight="1" thickTop="1">
      <c r="B54" s="435" t="s">
        <v>147</v>
      </c>
      <c r="C54" s="436"/>
      <c r="D54" s="436"/>
      <c r="E54" s="437">
        <f>SUM(E11:E53)</f>
        <v>25106.600000000002</v>
      </c>
      <c r="F54" s="438"/>
      <c r="G54" s="438"/>
      <c r="H54" s="439">
        <f>SUM(H11:H53)</f>
        <v>1834106</v>
      </c>
      <c r="I54" s="440">
        <f>SUM(I11:I53)</f>
        <v>49710</v>
      </c>
      <c r="J54" s="438"/>
      <c r="K54" s="441"/>
      <c r="L54" s="115"/>
      <c r="M54" s="115"/>
    </row>
    <row r="55" spans="2:23" ht="17.25" customHeight="1">
      <c r="B55" s="442" t="s">
        <v>141</v>
      </c>
      <c r="C55" s="697"/>
      <c r="D55" s="697"/>
      <c r="E55" s="697"/>
      <c r="F55" s="697"/>
      <c r="G55" s="697"/>
      <c r="H55" s="697"/>
      <c r="I55" s="443"/>
      <c r="J55" s="443"/>
      <c r="K55" s="444"/>
    </row>
    <row r="56" spans="2:23" ht="17.25" customHeight="1">
      <c r="B56" s="445" t="s">
        <v>142</v>
      </c>
      <c r="C56" s="446"/>
      <c r="D56" s="446"/>
      <c r="E56" s="446"/>
      <c r="F56" s="446"/>
      <c r="G56" s="446"/>
      <c r="H56" s="446"/>
      <c r="I56" s="447"/>
      <c r="J56" s="447"/>
      <c r="K56" s="448"/>
      <c r="P56" s="203"/>
    </row>
    <row r="57" spans="2:23" ht="17.25" customHeight="1" thickBot="1">
      <c r="B57" s="445" t="s">
        <v>143</v>
      </c>
      <c r="C57" s="446"/>
      <c r="D57" s="446"/>
      <c r="E57" s="446"/>
      <c r="F57" s="446"/>
      <c r="G57" s="446"/>
      <c r="H57" s="446"/>
      <c r="I57" s="447"/>
      <c r="J57" s="447"/>
      <c r="K57" s="448"/>
    </row>
    <row r="58" spans="2:23" ht="17.25" customHeight="1" thickBot="1">
      <c r="B58" s="445" t="s">
        <v>241</v>
      </c>
      <c r="C58" s="446"/>
      <c r="D58" s="449"/>
      <c r="E58" s="464">
        <f>H54+(I54*90)</f>
        <v>6308006</v>
      </c>
      <c r="F58" s="450" t="s">
        <v>169</v>
      </c>
      <c r="G58" s="446" t="s">
        <v>167</v>
      </c>
      <c r="H58" s="446" t="s">
        <v>168</v>
      </c>
      <c r="I58" s="464">
        <f>K54</f>
        <v>0</v>
      </c>
      <c r="J58" s="450" t="s">
        <v>169</v>
      </c>
      <c r="K58" s="448"/>
      <c r="P58" s="204"/>
    </row>
    <row r="59" spans="2:23" ht="17.25" customHeight="1">
      <c r="B59" s="445" t="s">
        <v>170</v>
      </c>
      <c r="C59" s="451"/>
      <c r="D59" s="452"/>
      <c r="E59" s="452"/>
      <c r="F59" s="453"/>
      <c r="G59" s="454"/>
      <c r="H59" s="454"/>
      <c r="I59" s="447"/>
      <c r="J59" s="447"/>
      <c r="K59" s="448"/>
    </row>
    <row r="60" spans="2:23" ht="17.25" customHeight="1">
      <c r="B60" s="445" t="s">
        <v>144</v>
      </c>
      <c r="C60" s="451"/>
      <c r="D60" s="452"/>
      <c r="E60" s="452"/>
      <c r="F60" s="453"/>
      <c r="G60" s="454"/>
      <c r="H60" s="454"/>
      <c r="I60" s="447"/>
      <c r="J60" s="447"/>
      <c r="K60" s="448"/>
    </row>
    <row r="61" spans="2:23" ht="17.25" customHeight="1">
      <c r="B61" s="455" t="s">
        <v>145</v>
      </c>
      <c r="C61" s="451"/>
      <c r="D61" s="452"/>
      <c r="E61" s="452"/>
      <c r="F61" s="453"/>
      <c r="G61" s="454"/>
      <c r="H61" s="454"/>
      <c r="I61" s="447"/>
      <c r="J61" s="447"/>
      <c r="K61" s="448"/>
    </row>
    <row r="62" spans="2:23" ht="17.25" customHeight="1" thickBot="1">
      <c r="B62" s="465" t="s">
        <v>146</v>
      </c>
      <c r="C62" s="466"/>
      <c r="D62" s="467"/>
      <c r="E62" s="467"/>
      <c r="F62" s="467"/>
      <c r="G62" s="468"/>
      <c r="H62" s="469"/>
      <c r="I62" s="470"/>
      <c r="J62" s="470"/>
      <c r="K62" s="456"/>
    </row>
    <row r="63" spans="2:23" ht="24.75" thickBot="1">
      <c r="B63" s="698" t="s">
        <v>6</v>
      </c>
      <c r="C63" s="699"/>
      <c r="D63" s="699"/>
      <c r="E63" s="699"/>
      <c r="F63" s="699"/>
      <c r="G63" s="699"/>
      <c r="H63" s="699"/>
      <c r="I63" s="699"/>
      <c r="J63" s="699"/>
      <c r="K63" s="700"/>
    </row>
  </sheetData>
  <mergeCells count="18">
    <mergeCell ref="J9:J10"/>
    <mergeCell ref="K9:K10"/>
    <mergeCell ref="C55:H55"/>
    <mergeCell ref="B63:K63"/>
    <mergeCell ref="B9:B10"/>
    <mergeCell ref="C9:C10"/>
    <mergeCell ref="D9:D10"/>
    <mergeCell ref="E9:E10"/>
    <mergeCell ref="F9:G9"/>
    <mergeCell ref="H9:I9"/>
    <mergeCell ref="B1:K1"/>
    <mergeCell ref="H3:J3"/>
    <mergeCell ref="K3:K7"/>
    <mergeCell ref="C4:E4"/>
    <mergeCell ref="C5:E5"/>
    <mergeCell ref="C6:E6"/>
    <mergeCell ref="H6:J6"/>
    <mergeCell ref="H7:J7"/>
  </mergeCells>
  <phoneticPr fontId="78" type="noConversion"/>
  <printOptions horizontalCentered="1" verticalCentered="1"/>
  <pageMargins left="0" right="0" top="0.31496062992125984" bottom="0.27559055118110237" header="0.23622047244094491" footer="0.19685039370078741"/>
  <pageSetup paperSize="8" scale="7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W46"/>
  <sheetViews>
    <sheetView view="pageBreakPreview" topLeftCell="A4" zoomScaleNormal="100" zoomScaleSheetLayoutView="100" workbookViewId="0">
      <selection activeCell="P7" sqref="P7"/>
    </sheetView>
  </sheetViews>
  <sheetFormatPr defaultColWidth="9" defaultRowHeight="14.25"/>
  <cols>
    <col min="1" max="1" width="9" style="72"/>
    <col min="2" max="2" width="19.75" style="72" customWidth="1"/>
    <col min="3" max="3" width="7.25" style="72" bestFit="1" customWidth="1"/>
    <col min="4" max="4" width="9.75" style="72" bestFit="1" customWidth="1"/>
    <col min="5" max="5" width="11.75" style="72" bestFit="1" customWidth="1"/>
    <col min="6" max="6" width="14.125" style="72" customWidth="1"/>
    <col min="7" max="7" width="12.625" style="72" customWidth="1"/>
    <col min="8" max="8" width="14.875" style="72" customWidth="1"/>
    <col min="9" max="9" width="12.75" style="73" customWidth="1"/>
    <col min="10" max="13" width="12.25" style="73" customWidth="1"/>
    <col min="14" max="14" width="15.375" style="73" customWidth="1"/>
    <col min="15" max="15" width="12.625" style="73" bestFit="1" customWidth="1"/>
    <col min="16" max="19" width="12.625" style="73" customWidth="1"/>
    <col min="20" max="20" width="12.875" style="73" bestFit="1" customWidth="1"/>
    <col min="21" max="22" width="14.625" style="73" bestFit="1" customWidth="1"/>
    <col min="23" max="23" width="9" style="73"/>
    <col min="24" max="16384" width="9" style="72"/>
  </cols>
  <sheetData>
    <row r="1" spans="2:23" ht="42" customHeight="1">
      <c r="B1" s="677" t="s">
        <v>148</v>
      </c>
      <c r="C1" s="677"/>
      <c r="D1" s="677"/>
      <c r="E1" s="677"/>
      <c r="F1" s="677"/>
      <c r="G1" s="677"/>
      <c r="H1" s="677"/>
      <c r="I1" s="677"/>
      <c r="J1" s="677"/>
      <c r="K1" s="677"/>
    </row>
    <row r="2" spans="2:23" ht="42.75" customHeight="1">
      <c r="B2" s="84"/>
      <c r="C2" s="84"/>
      <c r="D2" s="84"/>
      <c r="E2" s="84"/>
      <c r="F2" s="73"/>
      <c r="G2" s="73"/>
      <c r="H2" s="73"/>
    </row>
    <row r="3" spans="2:23" ht="27.75" thickBot="1">
      <c r="B3" s="84"/>
      <c r="C3" s="84"/>
      <c r="D3" s="84"/>
      <c r="E3" s="84"/>
      <c r="F3" s="84"/>
      <c r="G3" s="105" t="s">
        <v>2</v>
      </c>
      <c r="H3" s="678" t="s">
        <v>3</v>
      </c>
      <c r="I3" s="679"/>
      <c r="J3" s="680"/>
      <c r="K3" s="568"/>
    </row>
    <row r="4" spans="2:23" ht="20.100000000000001" customHeight="1">
      <c r="B4" s="143" t="s">
        <v>1</v>
      </c>
      <c r="C4" s="681"/>
      <c r="D4" s="681"/>
      <c r="E4" s="682"/>
      <c r="F4" s="84"/>
      <c r="G4" s="106" t="s">
        <v>5</v>
      </c>
      <c r="H4" s="102" t="s">
        <v>6</v>
      </c>
      <c r="I4" s="106" t="s">
        <v>7</v>
      </c>
      <c r="J4" s="101" t="s">
        <v>8</v>
      </c>
      <c r="K4" s="569"/>
    </row>
    <row r="5" spans="2:23" ht="20.100000000000001" customHeight="1">
      <c r="B5" s="144" t="s">
        <v>4</v>
      </c>
      <c r="C5" s="591"/>
      <c r="D5" s="592"/>
      <c r="E5" s="683"/>
      <c r="F5" s="84"/>
      <c r="G5" s="106" t="s">
        <v>11</v>
      </c>
      <c r="H5" s="705" t="s">
        <v>12</v>
      </c>
      <c r="I5" s="706"/>
      <c r="J5" s="707"/>
      <c r="K5" s="569"/>
    </row>
    <row r="6" spans="2:23" ht="20.100000000000001" customHeight="1" thickBot="1">
      <c r="B6" s="145" t="s">
        <v>92</v>
      </c>
      <c r="C6" s="708"/>
      <c r="D6" s="685"/>
      <c r="E6" s="686"/>
      <c r="F6" s="84"/>
      <c r="G6" s="147" t="s">
        <v>13</v>
      </c>
      <c r="H6" s="709" t="s">
        <v>14</v>
      </c>
      <c r="I6" s="710"/>
      <c r="J6" s="711"/>
      <c r="K6" s="569"/>
    </row>
    <row r="7" spans="2:23" ht="20.100000000000001" customHeight="1">
      <c r="B7" s="84"/>
      <c r="C7" s="84"/>
      <c r="D7" s="84"/>
      <c r="E7" s="84"/>
      <c r="F7" s="73"/>
      <c r="G7" s="146" t="s">
        <v>93</v>
      </c>
      <c r="H7" s="712" t="s">
        <v>256</v>
      </c>
      <c r="I7" s="713"/>
      <c r="J7" s="714"/>
      <c r="K7" s="570"/>
      <c r="L7" s="112"/>
      <c r="M7" s="112"/>
    </row>
    <row r="8" spans="2:23" ht="20.100000000000001" customHeight="1" thickBot="1">
      <c r="B8" s="75"/>
      <c r="C8" s="75"/>
      <c r="D8" s="75"/>
      <c r="E8" s="75"/>
      <c r="F8" s="75"/>
      <c r="G8" s="75"/>
      <c r="H8" s="75"/>
    </row>
    <row r="9" spans="2:23" ht="20.100000000000001" customHeight="1" thickBot="1">
      <c r="B9" s="723" t="s">
        <v>94</v>
      </c>
      <c r="C9" s="715" t="s">
        <v>95</v>
      </c>
      <c r="D9" s="715" t="s">
        <v>96</v>
      </c>
      <c r="E9" s="715" t="s">
        <v>150</v>
      </c>
      <c r="F9" s="725" t="s">
        <v>151</v>
      </c>
      <c r="G9" s="726"/>
      <c r="H9" s="725" t="s">
        <v>152</v>
      </c>
      <c r="I9" s="726"/>
      <c r="J9" s="715" t="s">
        <v>98</v>
      </c>
      <c r="K9" s="717" t="s">
        <v>153</v>
      </c>
      <c r="L9" s="74"/>
      <c r="M9" s="74"/>
    </row>
    <row r="10" spans="2:23" ht="20.100000000000001" customHeight="1" thickBot="1">
      <c r="B10" s="724"/>
      <c r="C10" s="716"/>
      <c r="D10" s="716"/>
      <c r="E10" s="716"/>
      <c r="F10" s="129" t="s">
        <v>154</v>
      </c>
      <c r="G10" s="129" t="s">
        <v>155</v>
      </c>
      <c r="H10" s="129" t="s">
        <v>156</v>
      </c>
      <c r="I10" s="129" t="s">
        <v>157</v>
      </c>
      <c r="J10" s="716"/>
      <c r="K10" s="718"/>
      <c r="L10" s="74"/>
      <c r="M10" s="74"/>
      <c r="N10" s="86" t="s">
        <v>158</v>
      </c>
      <c r="O10" s="86" t="s">
        <v>159</v>
      </c>
      <c r="P10" s="87" t="s">
        <v>160</v>
      </c>
      <c r="Q10" s="87" t="s">
        <v>161</v>
      </c>
      <c r="R10" s="87" t="s">
        <v>162</v>
      </c>
      <c r="S10" s="174" t="s">
        <v>163</v>
      </c>
      <c r="T10" s="87" t="s">
        <v>164</v>
      </c>
    </row>
    <row r="11" spans="2:23" s="76" customFormat="1" ht="20.100000000000001" customHeight="1">
      <c r="B11" s="205" t="s">
        <v>171</v>
      </c>
      <c r="C11" s="163"/>
      <c r="D11" s="244">
        <v>4.2</v>
      </c>
      <c r="E11" s="164">
        <f t="shared" ref="E11:E37" si="0">D11*C11</f>
        <v>0</v>
      </c>
      <c r="F11" s="165">
        <v>300</v>
      </c>
      <c r="G11" s="166">
        <v>8</v>
      </c>
      <c r="H11" s="167">
        <f>F11*C11</f>
        <v>0</v>
      </c>
      <c r="I11" s="167">
        <f>G11*C11</f>
        <v>0</v>
      </c>
      <c r="J11" s="168">
        <v>7390</v>
      </c>
      <c r="K11" s="169"/>
      <c r="L11" s="113"/>
      <c r="M11" s="113"/>
      <c r="N11" s="252" t="s">
        <v>171</v>
      </c>
      <c r="O11" s="182">
        <v>7390</v>
      </c>
      <c r="P11" s="182">
        <f>F11</f>
        <v>300</v>
      </c>
      <c r="Q11" s="182">
        <v>8</v>
      </c>
      <c r="R11" s="182">
        <f>P11+(Q11*365)</f>
        <v>3220</v>
      </c>
      <c r="S11" s="182">
        <f>P11+(Q11*730)</f>
        <v>6140</v>
      </c>
      <c r="T11" s="183">
        <f>P11+(Q11*1095)</f>
        <v>9060</v>
      </c>
      <c r="U11" s="77"/>
      <c r="V11" s="77"/>
      <c r="W11" s="77"/>
    </row>
    <row r="12" spans="2:23" s="76" customFormat="1" ht="20.100000000000001" customHeight="1" thickBot="1">
      <c r="B12" s="207" t="s">
        <v>172</v>
      </c>
      <c r="C12" s="158"/>
      <c r="D12" s="232">
        <v>5.5</v>
      </c>
      <c r="E12" s="159">
        <f t="shared" si="0"/>
        <v>0</v>
      </c>
      <c r="F12" s="120">
        <v>360</v>
      </c>
      <c r="G12" s="160">
        <v>9</v>
      </c>
      <c r="H12" s="170">
        <f t="shared" ref="H12:H37" si="1">F12*C12</f>
        <v>0</v>
      </c>
      <c r="I12" s="170">
        <f t="shared" ref="I12:I37" si="2">G12*C12</f>
        <v>0</v>
      </c>
      <c r="J12" s="161">
        <v>7500</v>
      </c>
      <c r="K12" s="162"/>
      <c r="L12" s="113"/>
      <c r="M12" s="113"/>
      <c r="N12" s="253" t="s">
        <v>172</v>
      </c>
      <c r="O12" s="180">
        <v>8000</v>
      </c>
      <c r="P12" s="180">
        <f>F12</f>
        <v>360</v>
      </c>
      <c r="Q12" s="180">
        <v>9</v>
      </c>
      <c r="R12" s="180">
        <f t="shared" ref="R12:R37" si="3">P12+(Q12*365)</f>
        <v>3645</v>
      </c>
      <c r="S12" s="180">
        <f t="shared" ref="S12:S37" si="4">P12+(Q12*730)</f>
        <v>6930</v>
      </c>
      <c r="T12" s="181">
        <f t="shared" ref="T12:T37" si="5">P12+(Q12*1095)</f>
        <v>10215</v>
      </c>
      <c r="U12" s="77"/>
      <c r="V12" s="77"/>
      <c r="W12" s="77"/>
    </row>
    <row r="13" spans="2:23" s="76" customFormat="1" ht="20.100000000000001" customHeight="1" thickTop="1">
      <c r="B13" s="208" t="s">
        <v>173</v>
      </c>
      <c r="C13" s="209"/>
      <c r="D13" s="233">
        <v>11.85</v>
      </c>
      <c r="E13" s="210">
        <f t="shared" si="0"/>
        <v>0</v>
      </c>
      <c r="F13" s="211">
        <v>600</v>
      </c>
      <c r="G13" s="212">
        <v>17</v>
      </c>
      <c r="H13" s="213">
        <f t="shared" si="1"/>
        <v>0</v>
      </c>
      <c r="I13" s="213">
        <f t="shared" si="2"/>
        <v>0</v>
      </c>
      <c r="J13" s="214">
        <v>20000</v>
      </c>
      <c r="K13" s="215"/>
      <c r="L13" s="113"/>
      <c r="M13" s="113"/>
      <c r="N13" s="254" t="s">
        <v>173</v>
      </c>
      <c r="O13" s="211">
        <v>31010</v>
      </c>
      <c r="P13" s="211">
        <v>1100</v>
      </c>
      <c r="Q13" s="211">
        <v>26</v>
      </c>
      <c r="R13" s="211">
        <f t="shared" si="3"/>
        <v>10590</v>
      </c>
      <c r="S13" s="211">
        <f t="shared" si="4"/>
        <v>20080</v>
      </c>
      <c r="T13" s="248">
        <f t="shared" si="5"/>
        <v>29570</v>
      </c>
      <c r="U13" s="77"/>
      <c r="V13" s="77"/>
      <c r="W13" s="77"/>
    </row>
    <row r="14" spans="2:23" s="76" customFormat="1" ht="20.100000000000001" customHeight="1">
      <c r="B14" s="216" t="s">
        <v>174</v>
      </c>
      <c r="C14" s="217"/>
      <c r="D14" s="234">
        <v>8</v>
      </c>
      <c r="E14" s="218">
        <f t="shared" si="0"/>
        <v>0</v>
      </c>
      <c r="F14" s="219">
        <v>500</v>
      </c>
      <c r="G14" s="220">
        <v>14</v>
      </c>
      <c r="H14" s="221">
        <f t="shared" si="1"/>
        <v>0</v>
      </c>
      <c r="I14" s="221">
        <f t="shared" si="2"/>
        <v>0</v>
      </c>
      <c r="J14" s="222">
        <v>14600</v>
      </c>
      <c r="K14" s="223"/>
      <c r="L14" s="113"/>
      <c r="M14" s="113"/>
      <c r="N14" s="255" t="s">
        <v>174</v>
      </c>
      <c r="O14" s="219">
        <v>26820</v>
      </c>
      <c r="P14" s="219">
        <f t="shared" ref="P14:P37" si="6">F14</f>
        <v>500</v>
      </c>
      <c r="Q14" s="219">
        <v>18</v>
      </c>
      <c r="R14" s="219">
        <f t="shared" si="3"/>
        <v>7070</v>
      </c>
      <c r="S14" s="219">
        <f t="shared" si="4"/>
        <v>13640</v>
      </c>
      <c r="T14" s="249">
        <f t="shared" si="5"/>
        <v>20210</v>
      </c>
      <c r="U14" s="77"/>
      <c r="V14" s="77"/>
      <c r="W14" s="77"/>
    </row>
    <row r="15" spans="2:23" s="76" customFormat="1" ht="20.100000000000001" customHeight="1">
      <c r="B15" s="216" t="s">
        <v>175</v>
      </c>
      <c r="C15" s="217"/>
      <c r="D15" s="234">
        <v>4.7</v>
      </c>
      <c r="E15" s="218">
        <f t="shared" si="0"/>
        <v>0</v>
      </c>
      <c r="F15" s="219">
        <v>300</v>
      </c>
      <c r="G15" s="220">
        <v>8</v>
      </c>
      <c r="H15" s="221">
        <f t="shared" si="1"/>
        <v>0</v>
      </c>
      <c r="I15" s="221">
        <f t="shared" si="2"/>
        <v>0</v>
      </c>
      <c r="J15" s="222">
        <v>8750</v>
      </c>
      <c r="K15" s="223"/>
      <c r="L15" s="113"/>
      <c r="M15" s="113"/>
      <c r="N15" s="255" t="s">
        <v>175</v>
      </c>
      <c r="O15" s="219">
        <v>19240</v>
      </c>
      <c r="P15" s="219">
        <f t="shared" si="6"/>
        <v>300</v>
      </c>
      <c r="Q15" s="219">
        <v>16</v>
      </c>
      <c r="R15" s="219">
        <f t="shared" si="3"/>
        <v>6140</v>
      </c>
      <c r="S15" s="219">
        <f t="shared" si="4"/>
        <v>11980</v>
      </c>
      <c r="T15" s="249">
        <f t="shared" si="5"/>
        <v>17820</v>
      </c>
      <c r="U15" s="77"/>
      <c r="V15" s="77"/>
      <c r="W15" s="77"/>
    </row>
    <row r="16" spans="2:23" s="76" customFormat="1" ht="20.100000000000001" customHeight="1">
      <c r="B16" s="216" t="s">
        <v>176</v>
      </c>
      <c r="C16" s="217"/>
      <c r="D16" s="234">
        <v>2.4</v>
      </c>
      <c r="E16" s="218">
        <f t="shared" si="0"/>
        <v>0</v>
      </c>
      <c r="F16" s="219">
        <v>200</v>
      </c>
      <c r="G16" s="220">
        <v>6</v>
      </c>
      <c r="H16" s="221">
        <f t="shared" si="1"/>
        <v>0</v>
      </c>
      <c r="I16" s="221">
        <f t="shared" si="2"/>
        <v>0</v>
      </c>
      <c r="J16" s="222">
        <v>5750</v>
      </c>
      <c r="K16" s="223"/>
      <c r="L16" s="113"/>
      <c r="M16" s="113"/>
      <c r="N16" s="255" t="s">
        <v>176</v>
      </c>
      <c r="O16" s="219">
        <v>11550</v>
      </c>
      <c r="P16" s="219">
        <f t="shared" si="6"/>
        <v>200</v>
      </c>
      <c r="Q16" s="219">
        <v>10</v>
      </c>
      <c r="R16" s="219">
        <f t="shared" si="3"/>
        <v>3850</v>
      </c>
      <c r="S16" s="219">
        <f t="shared" si="4"/>
        <v>7500</v>
      </c>
      <c r="T16" s="249">
        <f t="shared" si="5"/>
        <v>11150</v>
      </c>
      <c r="U16" s="77"/>
      <c r="V16" s="77"/>
      <c r="W16" s="77"/>
    </row>
    <row r="17" spans="2:23" s="76" customFormat="1" ht="20.100000000000001" customHeight="1">
      <c r="B17" s="216" t="s">
        <v>177</v>
      </c>
      <c r="C17" s="217"/>
      <c r="D17" s="234">
        <v>2.2999999999999998</v>
      </c>
      <c r="E17" s="218">
        <f t="shared" si="0"/>
        <v>0</v>
      </c>
      <c r="F17" s="219">
        <v>170</v>
      </c>
      <c r="G17" s="220">
        <v>5</v>
      </c>
      <c r="H17" s="221">
        <f t="shared" si="1"/>
        <v>0</v>
      </c>
      <c r="I17" s="221">
        <f t="shared" si="2"/>
        <v>0</v>
      </c>
      <c r="J17" s="222">
        <v>4950</v>
      </c>
      <c r="K17" s="223"/>
      <c r="L17" s="113"/>
      <c r="M17" s="113"/>
      <c r="N17" s="255" t="s">
        <v>177</v>
      </c>
      <c r="O17" s="219">
        <v>7950</v>
      </c>
      <c r="P17" s="219">
        <f t="shared" si="6"/>
        <v>170</v>
      </c>
      <c r="Q17" s="219">
        <v>8</v>
      </c>
      <c r="R17" s="219">
        <f t="shared" si="3"/>
        <v>3090</v>
      </c>
      <c r="S17" s="219">
        <f t="shared" si="4"/>
        <v>6010</v>
      </c>
      <c r="T17" s="249">
        <f t="shared" si="5"/>
        <v>8930</v>
      </c>
      <c r="U17" s="77"/>
      <c r="V17" s="77"/>
      <c r="W17" s="77"/>
    </row>
    <row r="18" spans="2:23" s="76" customFormat="1" ht="20.100000000000001" customHeight="1" thickBot="1">
      <c r="B18" s="236" t="s">
        <v>178</v>
      </c>
      <c r="C18" s="237"/>
      <c r="D18" s="245">
        <v>1.73</v>
      </c>
      <c r="E18" s="238">
        <f t="shared" si="0"/>
        <v>0</v>
      </c>
      <c r="F18" s="239">
        <v>120</v>
      </c>
      <c r="G18" s="240">
        <v>4</v>
      </c>
      <c r="H18" s="241">
        <f t="shared" si="1"/>
        <v>0</v>
      </c>
      <c r="I18" s="241">
        <f t="shared" si="2"/>
        <v>0</v>
      </c>
      <c r="J18" s="242">
        <v>4200</v>
      </c>
      <c r="K18" s="243"/>
      <c r="L18" s="113"/>
      <c r="M18" s="113"/>
      <c r="N18" s="255" t="s">
        <v>178</v>
      </c>
      <c r="O18" s="219">
        <v>6590</v>
      </c>
      <c r="P18" s="219">
        <f t="shared" si="6"/>
        <v>120</v>
      </c>
      <c r="Q18" s="219">
        <v>7</v>
      </c>
      <c r="R18" s="219">
        <f t="shared" si="3"/>
        <v>2675</v>
      </c>
      <c r="S18" s="219">
        <f t="shared" si="4"/>
        <v>5230</v>
      </c>
      <c r="T18" s="249">
        <f t="shared" si="5"/>
        <v>7785</v>
      </c>
      <c r="U18" s="77"/>
      <c r="V18" s="77"/>
      <c r="W18" s="77"/>
    </row>
    <row r="19" spans="2:23" s="76" customFormat="1" ht="20.100000000000001" customHeight="1" thickTop="1">
      <c r="B19" s="208" t="s">
        <v>179</v>
      </c>
      <c r="C19" s="209"/>
      <c r="D19" s="233">
        <v>7.2</v>
      </c>
      <c r="E19" s="210">
        <f t="shared" si="0"/>
        <v>0</v>
      </c>
      <c r="F19" s="211">
        <v>200</v>
      </c>
      <c r="G19" s="212">
        <v>13</v>
      </c>
      <c r="H19" s="213">
        <f t="shared" si="1"/>
        <v>0</v>
      </c>
      <c r="I19" s="213">
        <f t="shared" si="2"/>
        <v>0</v>
      </c>
      <c r="J19" s="214">
        <v>13150</v>
      </c>
      <c r="K19" s="215"/>
      <c r="L19" s="113"/>
      <c r="M19" s="113"/>
      <c r="N19" s="255" t="s">
        <v>179</v>
      </c>
      <c r="O19" s="219">
        <v>5550</v>
      </c>
      <c r="P19" s="219">
        <f t="shared" si="6"/>
        <v>200</v>
      </c>
      <c r="Q19" s="219">
        <v>7</v>
      </c>
      <c r="R19" s="219">
        <f t="shared" si="3"/>
        <v>2755</v>
      </c>
      <c r="S19" s="219">
        <f t="shared" si="4"/>
        <v>5310</v>
      </c>
      <c r="T19" s="249">
        <f t="shared" si="5"/>
        <v>7865</v>
      </c>
      <c r="U19" s="77"/>
      <c r="V19" s="77"/>
      <c r="W19" s="77"/>
    </row>
    <row r="20" spans="2:23" s="76" customFormat="1" ht="20.100000000000001" customHeight="1">
      <c r="B20" s="216" t="s">
        <v>180</v>
      </c>
      <c r="C20" s="217"/>
      <c r="D20" s="234">
        <v>4</v>
      </c>
      <c r="E20" s="218">
        <f t="shared" si="0"/>
        <v>0</v>
      </c>
      <c r="F20" s="219">
        <v>330</v>
      </c>
      <c r="G20" s="220">
        <v>7</v>
      </c>
      <c r="H20" s="221">
        <f t="shared" si="1"/>
        <v>0</v>
      </c>
      <c r="I20" s="221">
        <f t="shared" si="2"/>
        <v>0</v>
      </c>
      <c r="J20" s="222">
        <v>7450</v>
      </c>
      <c r="K20" s="223"/>
      <c r="L20" s="113"/>
      <c r="M20" s="113"/>
      <c r="N20" s="255" t="s">
        <v>180</v>
      </c>
      <c r="O20" s="219">
        <v>8490</v>
      </c>
      <c r="P20" s="219">
        <f t="shared" si="6"/>
        <v>330</v>
      </c>
      <c r="Q20" s="219">
        <v>9</v>
      </c>
      <c r="R20" s="219">
        <f t="shared" si="3"/>
        <v>3615</v>
      </c>
      <c r="S20" s="219">
        <f t="shared" si="4"/>
        <v>6900</v>
      </c>
      <c r="T20" s="249">
        <f t="shared" si="5"/>
        <v>10185</v>
      </c>
      <c r="U20" s="77"/>
      <c r="V20" s="77"/>
      <c r="W20" s="77"/>
    </row>
    <row r="21" spans="2:23" s="76" customFormat="1" ht="20.100000000000001" customHeight="1">
      <c r="B21" s="216" t="s">
        <v>181</v>
      </c>
      <c r="C21" s="217"/>
      <c r="D21" s="234">
        <v>1.7</v>
      </c>
      <c r="E21" s="218">
        <f t="shared" si="0"/>
        <v>0</v>
      </c>
      <c r="F21" s="219">
        <v>290</v>
      </c>
      <c r="G21" s="220">
        <v>4</v>
      </c>
      <c r="H21" s="221">
        <f t="shared" si="1"/>
        <v>0</v>
      </c>
      <c r="I21" s="221">
        <f t="shared" si="2"/>
        <v>0</v>
      </c>
      <c r="J21" s="222">
        <v>4450</v>
      </c>
      <c r="K21" s="223"/>
      <c r="L21" s="113"/>
      <c r="M21" s="113"/>
      <c r="N21" s="255" t="s">
        <v>181</v>
      </c>
      <c r="O21" s="219">
        <v>7500</v>
      </c>
      <c r="P21" s="219">
        <f t="shared" si="6"/>
        <v>290</v>
      </c>
      <c r="Q21" s="219">
        <v>8</v>
      </c>
      <c r="R21" s="219">
        <f t="shared" si="3"/>
        <v>3210</v>
      </c>
      <c r="S21" s="219">
        <f t="shared" si="4"/>
        <v>6130</v>
      </c>
      <c r="T21" s="249">
        <f t="shared" si="5"/>
        <v>9050</v>
      </c>
      <c r="U21" s="77"/>
      <c r="V21" s="77"/>
      <c r="W21" s="77"/>
    </row>
    <row r="22" spans="2:23" s="76" customFormat="1" ht="20.100000000000001" customHeight="1" thickBot="1">
      <c r="B22" s="224" t="s">
        <v>182</v>
      </c>
      <c r="C22" s="225"/>
      <c r="D22" s="246">
        <v>16</v>
      </c>
      <c r="E22" s="226">
        <f t="shared" si="0"/>
        <v>0</v>
      </c>
      <c r="F22" s="227">
        <v>260</v>
      </c>
      <c r="G22" s="228">
        <v>4</v>
      </c>
      <c r="H22" s="229">
        <f t="shared" si="1"/>
        <v>0</v>
      </c>
      <c r="I22" s="229">
        <f t="shared" si="2"/>
        <v>0</v>
      </c>
      <c r="J22" s="230">
        <v>3650</v>
      </c>
      <c r="K22" s="231"/>
      <c r="L22" s="113"/>
      <c r="M22" s="113"/>
      <c r="N22" s="256" t="s">
        <v>182</v>
      </c>
      <c r="O22" s="227">
        <v>6620</v>
      </c>
      <c r="P22" s="227">
        <f t="shared" si="6"/>
        <v>260</v>
      </c>
      <c r="Q22" s="227">
        <v>7</v>
      </c>
      <c r="R22" s="227">
        <f t="shared" si="3"/>
        <v>2815</v>
      </c>
      <c r="S22" s="227">
        <f t="shared" si="4"/>
        <v>5370</v>
      </c>
      <c r="T22" s="250">
        <f t="shared" si="5"/>
        <v>7925</v>
      </c>
      <c r="U22" s="77"/>
      <c r="V22" s="77"/>
      <c r="W22" s="77"/>
    </row>
    <row r="23" spans="2:23" s="76" customFormat="1" ht="20.100000000000001" customHeight="1" thickTop="1">
      <c r="B23" s="208" t="s">
        <v>183</v>
      </c>
      <c r="C23" s="209"/>
      <c r="D23" s="233">
        <v>5</v>
      </c>
      <c r="E23" s="210">
        <f t="shared" si="0"/>
        <v>0</v>
      </c>
      <c r="F23" s="211">
        <v>320</v>
      </c>
      <c r="G23" s="212">
        <v>9</v>
      </c>
      <c r="H23" s="213">
        <f t="shared" si="1"/>
        <v>0</v>
      </c>
      <c r="I23" s="213">
        <f t="shared" si="2"/>
        <v>0</v>
      </c>
      <c r="J23" s="214">
        <v>9450</v>
      </c>
      <c r="K23" s="215"/>
      <c r="L23" s="113"/>
      <c r="M23" s="113"/>
      <c r="N23" s="254" t="s">
        <v>183</v>
      </c>
      <c r="O23" s="211">
        <v>5780</v>
      </c>
      <c r="P23" s="211">
        <f t="shared" si="6"/>
        <v>320</v>
      </c>
      <c r="Q23" s="211">
        <v>6</v>
      </c>
      <c r="R23" s="211">
        <f t="shared" si="3"/>
        <v>2510</v>
      </c>
      <c r="S23" s="211">
        <f t="shared" si="4"/>
        <v>4700</v>
      </c>
      <c r="T23" s="248">
        <f t="shared" si="5"/>
        <v>6890</v>
      </c>
      <c r="U23" s="77"/>
      <c r="V23" s="77"/>
      <c r="W23" s="77"/>
    </row>
    <row r="24" spans="2:23" s="76" customFormat="1" ht="20.100000000000001" customHeight="1">
      <c r="B24" s="216" t="s">
        <v>184</v>
      </c>
      <c r="C24" s="217"/>
      <c r="D24" s="234">
        <v>4.2</v>
      </c>
      <c r="E24" s="218">
        <f t="shared" si="0"/>
        <v>0</v>
      </c>
      <c r="F24" s="219">
        <v>290</v>
      </c>
      <c r="G24" s="220">
        <v>8</v>
      </c>
      <c r="H24" s="221">
        <f t="shared" si="1"/>
        <v>0</v>
      </c>
      <c r="I24" s="221">
        <f t="shared" si="2"/>
        <v>0</v>
      </c>
      <c r="J24" s="222">
        <v>8400</v>
      </c>
      <c r="K24" s="223"/>
      <c r="L24" s="113"/>
      <c r="M24" s="113"/>
      <c r="N24" s="255" t="s">
        <v>184</v>
      </c>
      <c r="O24" s="219">
        <v>4960</v>
      </c>
      <c r="P24" s="219">
        <f t="shared" si="6"/>
        <v>290</v>
      </c>
      <c r="Q24" s="219">
        <v>5</v>
      </c>
      <c r="R24" s="219">
        <f t="shared" si="3"/>
        <v>2115</v>
      </c>
      <c r="S24" s="219">
        <f t="shared" si="4"/>
        <v>3940</v>
      </c>
      <c r="T24" s="249">
        <f t="shared" si="5"/>
        <v>5765</v>
      </c>
      <c r="U24" s="77"/>
      <c r="V24" s="77"/>
      <c r="W24" s="77"/>
    </row>
    <row r="25" spans="2:23" s="76" customFormat="1" ht="20.100000000000001" customHeight="1">
      <c r="B25" s="216" t="s">
        <v>185</v>
      </c>
      <c r="C25" s="217"/>
      <c r="D25" s="234">
        <v>3.6</v>
      </c>
      <c r="E25" s="218">
        <f t="shared" si="0"/>
        <v>0</v>
      </c>
      <c r="F25" s="219">
        <v>250</v>
      </c>
      <c r="G25" s="220">
        <v>7</v>
      </c>
      <c r="H25" s="221">
        <f t="shared" si="1"/>
        <v>0</v>
      </c>
      <c r="I25" s="221">
        <f t="shared" si="2"/>
        <v>0</v>
      </c>
      <c r="J25" s="222">
        <v>7400</v>
      </c>
      <c r="K25" s="223"/>
      <c r="L25" s="113"/>
      <c r="M25" s="113"/>
      <c r="N25" s="255" t="s">
        <v>185</v>
      </c>
      <c r="O25" s="219">
        <v>4390</v>
      </c>
      <c r="P25" s="219">
        <f t="shared" si="6"/>
        <v>250</v>
      </c>
      <c r="Q25" s="219">
        <v>4</v>
      </c>
      <c r="R25" s="219">
        <f t="shared" si="3"/>
        <v>1710</v>
      </c>
      <c r="S25" s="219">
        <f t="shared" si="4"/>
        <v>3170</v>
      </c>
      <c r="T25" s="249">
        <f t="shared" si="5"/>
        <v>4630</v>
      </c>
      <c r="U25" s="77"/>
      <c r="V25" s="77"/>
      <c r="W25" s="77"/>
    </row>
    <row r="26" spans="2:23" s="76" customFormat="1" ht="20.100000000000001" customHeight="1">
      <c r="B26" s="216" t="s">
        <v>186</v>
      </c>
      <c r="C26" s="217"/>
      <c r="D26" s="234">
        <v>2.85</v>
      </c>
      <c r="E26" s="218">
        <f t="shared" si="0"/>
        <v>0</v>
      </c>
      <c r="F26" s="219">
        <v>220</v>
      </c>
      <c r="G26" s="220">
        <v>6</v>
      </c>
      <c r="H26" s="221">
        <f t="shared" si="1"/>
        <v>0</v>
      </c>
      <c r="I26" s="221">
        <f t="shared" si="2"/>
        <v>0</v>
      </c>
      <c r="J26" s="222">
        <v>6350</v>
      </c>
      <c r="K26" s="223"/>
      <c r="L26" s="113"/>
      <c r="M26" s="113"/>
      <c r="N26" s="255" t="s">
        <v>186</v>
      </c>
      <c r="O26" s="219">
        <v>3930</v>
      </c>
      <c r="P26" s="219">
        <f t="shared" si="6"/>
        <v>220</v>
      </c>
      <c r="Q26" s="219">
        <v>3</v>
      </c>
      <c r="R26" s="219">
        <f t="shared" si="3"/>
        <v>1315</v>
      </c>
      <c r="S26" s="219">
        <f t="shared" si="4"/>
        <v>2410</v>
      </c>
      <c r="T26" s="249">
        <f t="shared" si="5"/>
        <v>3505</v>
      </c>
      <c r="U26" s="77"/>
      <c r="V26" s="77"/>
      <c r="W26" s="77"/>
    </row>
    <row r="27" spans="2:23" s="76" customFormat="1" ht="20.100000000000001" customHeight="1">
      <c r="B27" s="216" t="s">
        <v>187</v>
      </c>
      <c r="C27" s="217"/>
      <c r="D27" s="234">
        <v>2.2000000000000002</v>
      </c>
      <c r="E27" s="218">
        <f t="shared" si="0"/>
        <v>0</v>
      </c>
      <c r="F27" s="219">
        <v>180</v>
      </c>
      <c r="G27" s="220">
        <v>5</v>
      </c>
      <c r="H27" s="221">
        <f t="shared" si="1"/>
        <v>0</v>
      </c>
      <c r="I27" s="221">
        <f t="shared" si="2"/>
        <v>0</v>
      </c>
      <c r="J27" s="222">
        <v>5350</v>
      </c>
      <c r="K27" s="223"/>
      <c r="L27" s="113"/>
      <c r="M27" s="113"/>
      <c r="N27" s="255" t="s">
        <v>187</v>
      </c>
      <c r="O27" s="219">
        <v>15930</v>
      </c>
      <c r="P27" s="219">
        <f t="shared" si="6"/>
        <v>180</v>
      </c>
      <c r="Q27" s="219">
        <v>18</v>
      </c>
      <c r="R27" s="219">
        <f t="shared" si="3"/>
        <v>6750</v>
      </c>
      <c r="S27" s="219">
        <f t="shared" si="4"/>
        <v>13320</v>
      </c>
      <c r="T27" s="249">
        <f t="shared" si="5"/>
        <v>19890</v>
      </c>
      <c r="U27" s="77"/>
      <c r="V27" s="77"/>
      <c r="W27" s="77"/>
    </row>
    <row r="28" spans="2:23" s="76" customFormat="1" ht="20.100000000000001" customHeight="1" thickBot="1">
      <c r="B28" s="224" t="s">
        <v>188</v>
      </c>
      <c r="C28" s="225"/>
      <c r="D28" s="246">
        <v>1.9</v>
      </c>
      <c r="E28" s="226">
        <f t="shared" si="0"/>
        <v>0</v>
      </c>
      <c r="F28" s="227">
        <v>160</v>
      </c>
      <c r="G28" s="228">
        <v>4</v>
      </c>
      <c r="H28" s="229">
        <f t="shared" si="1"/>
        <v>0</v>
      </c>
      <c r="I28" s="229">
        <f t="shared" si="2"/>
        <v>0</v>
      </c>
      <c r="J28" s="230">
        <v>470</v>
      </c>
      <c r="K28" s="231"/>
      <c r="L28" s="113"/>
      <c r="M28" s="113"/>
      <c r="N28" s="256" t="s">
        <v>188</v>
      </c>
      <c r="O28" s="227">
        <v>63130</v>
      </c>
      <c r="P28" s="227">
        <f t="shared" si="6"/>
        <v>160</v>
      </c>
      <c r="Q28" s="227">
        <v>41</v>
      </c>
      <c r="R28" s="227">
        <f t="shared" si="3"/>
        <v>15125</v>
      </c>
      <c r="S28" s="227">
        <f t="shared" si="4"/>
        <v>30090</v>
      </c>
      <c r="T28" s="250">
        <f t="shared" si="5"/>
        <v>45055</v>
      </c>
      <c r="U28" s="77"/>
      <c r="V28" s="77"/>
      <c r="W28" s="77"/>
    </row>
    <row r="29" spans="2:23" s="76" customFormat="1" ht="20.100000000000001" customHeight="1" thickTop="1">
      <c r="B29" s="205" t="s">
        <v>189</v>
      </c>
      <c r="C29" s="124"/>
      <c r="D29" s="247">
        <v>6</v>
      </c>
      <c r="E29" s="155">
        <f t="shared" si="0"/>
        <v>0</v>
      </c>
      <c r="F29" s="235">
        <v>320</v>
      </c>
      <c r="G29" s="125">
        <v>10</v>
      </c>
      <c r="H29" s="80">
        <f t="shared" si="1"/>
        <v>0</v>
      </c>
      <c r="I29" s="80">
        <f t="shared" si="2"/>
        <v>0</v>
      </c>
      <c r="J29" s="81">
        <v>10200</v>
      </c>
      <c r="K29" s="89"/>
      <c r="L29" s="113"/>
      <c r="M29" s="113"/>
      <c r="N29" s="254" t="s">
        <v>189</v>
      </c>
      <c r="O29" s="251">
        <v>58850</v>
      </c>
      <c r="P29" s="211">
        <f t="shared" si="6"/>
        <v>320</v>
      </c>
      <c r="Q29" s="251">
        <v>41</v>
      </c>
      <c r="R29" s="251">
        <f t="shared" si="3"/>
        <v>15285</v>
      </c>
      <c r="S29" s="211">
        <f t="shared" si="4"/>
        <v>30250</v>
      </c>
      <c r="T29" s="248">
        <f t="shared" si="5"/>
        <v>45215</v>
      </c>
      <c r="U29" s="77"/>
      <c r="V29" s="77"/>
      <c r="W29" s="77"/>
    </row>
    <row r="30" spans="2:23" s="76" customFormat="1" ht="20.100000000000001" customHeight="1">
      <c r="B30" s="206" t="s">
        <v>190</v>
      </c>
      <c r="C30" s="122"/>
      <c r="D30" s="156">
        <v>5.6</v>
      </c>
      <c r="E30" s="157">
        <f t="shared" si="0"/>
        <v>0</v>
      </c>
      <c r="F30" s="78">
        <v>280</v>
      </c>
      <c r="G30" s="121">
        <v>8</v>
      </c>
      <c r="H30" s="80">
        <f t="shared" si="1"/>
        <v>0</v>
      </c>
      <c r="I30" s="80">
        <f t="shared" si="2"/>
        <v>0</v>
      </c>
      <c r="J30" s="79">
        <v>8200</v>
      </c>
      <c r="K30" s="88"/>
      <c r="L30" s="113"/>
      <c r="M30" s="113"/>
      <c r="N30" s="255" t="s">
        <v>190</v>
      </c>
      <c r="O30" s="219">
        <v>37110</v>
      </c>
      <c r="P30" s="219">
        <f t="shared" si="6"/>
        <v>280</v>
      </c>
      <c r="Q30" s="219">
        <v>21</v>
      </c>
      <c r="R30" s="219">
        <f t="shared" si="3"/>
        <v>7945</v>
      </c>
      <c r="S30" s="219">
        <f t="shared" si="4"/>
        <v>15610</v>
      </c>
      <c r="T30" s="249">
        <f t="shared" si="5"/>
        <v>23275</v>
      </c>
      <c r="U30" s="77"/>
      <c r="V30" s="77"/>
      <c r="W30" s="77"/>
    </row>
    <row r="31" spans="2:23" s="76" customFormat="1" ht="20.100000000000001" customHeight="1" thickBot="1">
      <c r="B31" s="207" t="s">
        <v>191</v>
      </c>
      <c r="C31" s="158"/>
      <c r="D31" s="232">
        <v>19</v>
      </c>
      <c r="E31" s="159">
        <f t="shared" si="0"/>
        <v>0</v>
      </c>
      <c r="F31" s="120">
        <v>1200</v>
      </c>
      <c r="G31" s="160">
        <v>40</v>
      </c>
      <c r="H31" s="170">
        <f t="shared" si="1"/>
        <v>0</v>
      </c>
      <c r="I31" s="170">
        <f t="shared" si="2"/>
        <v>0</v>
      </c>
      <c r="J31" s="161">
        <v>42000</v>
      </c>
      <c r="K31" s="162"/>
      <c r="L31" s="113"/>
      <c r="M31" s="113"/>
      <c r="N31" s="256" t="s">
        <v>191</v>
      </c>
      <c r="O31" s="227">
        <v>36790</v>
      </c>
      <c r="P31" s="227">
        <f t="shared" si="6"/>
        <v>1200</v>
      </c>
      <c r="Q31" s="227">
        <v>17</v>
      </c>
      <c r="R31" s="227">
        <f t="shared" si="3"/>
        <v>7405</v>
      </c>
      <c r="S31" s="227">
        <f t="shared" si="4"/>
        <v>13610</v>
      </c>
      <c r="T31" s="250">
        <f t="shared" si="5"/>
        <v>19815</v>
      </c>
      <c r="U31" s="77"/>
      <c r="V31" s="77"/>
      <c r="W31" s="77"/>
    </row>
    <row r="32" spans="2:23" s="76" customFormat="1" ht="20.100000000000001" customHeight="1" thickTop="1">
      <c r="B32" s="208" t="s">
        <v>192</v>
      </c>
      <c r="C32" s="209"/>
      <c r="D32" s="233">
        <v>26.01</v>
      </c>
      <c r="E32" s="210">
        <f t="shared" si="0"/>
        <v>0</v>
      </c>
      <c r="F32" s="211">
        <v>1100</v>
      </c>
      <c r="G32" s="212">
        <v>30</v>
      </c>
      <c r="H32" s="213">
        <f t="shared" si="1"/>
        <v>0</v>
      </c>
      <c r="I32" s="213">
        <f t="shared" si="2"/>
        <v>0</v>
      </c>
      <c r="J32" s="214">
        <v>33000</v>
      </c>
      <c r="K32" s="215"/>
      <c r="L32" s="113"/>
      <c r="M32" s="113"/>
      <c r="N32" s="254" t="s">
        <v>192</v>
      </c>
      <c r="O32" s="211">
        <v>26650</v>
      </c>
      <c r="P32" s="211">
        <f t="shared" si="6"/>
        <v>1100</v>
      </c>
      <c r="Q32" s="211">
        <v>25</v>
      </c>
      <c r="R32" s="211">
        <f t="shared" si="3"/>
        <v>10225</v>
      </c>
      <c r="S32" s="211">
        <f t="shared" si="4"/>
        <v>19350</v>
      </c>
      <c r="T32" s="248">
        <f t="shared" si="5"/>
        <v>28475</v>
      </c>
      <c r="U32" s="77"/>
      <c r="V32" s="77"/>
      <c r="W32" s="77"/>
    </row>
    <row r="33" spans="2:23" s="76" customFormat="1" ht="20.100000000000001" customHeight="1">
      <c r="B33" s="216" t="s">
        <v>193</v>
      </c>
      <c r="C33" s="217"/>
      <c r="D33" s="234">
        <v>21.67</v>
      </c>
      <c r="E33" s="218">
        <f t="shared" si="0"/>
        <v>0</v>
      </c>
      <c r="F33" s="219">
        <v>900</v>
      </c>
      <c r="G33" s="220">
        <v>26</v>
      </c>
      <c r="H33" s="221">
        <f t="shared" si="1"/>
        <v>0</v>
      </c>
      <c r="I33" s="221">
        <f t="shared" si="2"/>
        <v>0</v>
      </c>
      <c r="J33" s="222">
        <v>27500</v>
      </c>
      <c r="K33" s="223"/>
      <c r="L33" s="113"/>
      <c r="M33" s="113"/>
      <c r="N33" s="255" t="s">
        <v>193</v>
      </c>
      <c r="O33" s="219">
        <v>2330</v>
      </c>
      <c r="P33" s="219">
        <f t="shared" si="6"/>
        <v>900</v>
      </c>
      <c r="Q33" s="219">
        <v>24</v>
      </c>
      <c r="R33" s="219">
        <f t="shared" si="3"/>
        <v>9660</v>
      </c>
      <c r="S33" s="219">
        <f t="shared" si="4"/>
        <v>18420</v>
      </c>
      <c r="T33" s="249">
        <f t="shared" si="5"/>
        <v>27180</v>
      </c>
      <c r="U33" s="77"/>
      <c r="V33" s="77"/>
      <c r="W33" s="77"/>
    </row>
    <row r="34" spans="2:23" s="76" customFormat="1" ht="20.100000000000001" customHeight="1">
      <c r="B34" s="216" t="s">
        <v>194</v>
      </c>
      <c r="C34" s="217"/>
      <c r="D34" s="234">
        <v>17.34</v>
      </c>
      <c r="E34" s="218">
        <f t="shared" si="0"/>
        <v>0</v>
      </c>
      <c r="F34" s="219">
        <v>700</v>
      </c>
      <c r="G34" s="220">
        <v>23</v>
      </c>
      <c r="H34" s="221">
        <f t="shared" si="1"/>
        <v>0</v>
      </c>
      <c r="I34" s="221">
        <f t="shared" si="2"/>
        <v>0</v>
      </c>
      <c r="J34" s="222">
        <v>22000</v>
      </c>
      <c r="K34" s="223"/>
      <c r="L34" s="113"/>
      <c r="M34" s="113"/>
      <c r="N34" s="255" t="s">
        <v>194</v>
      </c>
      <c r="O34" s="219">
        <v>20120</v>
      </c>
      <c r="P34" s="219">
        <f t="shared" si="6"/>
        <v>700</v>
      </c>
      <c r="Q34" s="219">
        <v>21</v>
      </c>
      <c r="R34" s="219">
        <f t="shared" si="3"/>
        <v>8365</v>
      </c>
      <c r="S34" s="219">
        <f t="shared" si="4"/>
        <v>16030</v>
      </c>
      <c r="T34" s="249">
        <f t="shared" si="5"/>
        <v>23695</v>
      </c>
      <c r="U34" s="77"/>
      <c r="V34" s="77"/>
      <c r="W34" s="77"/>
    </row>
    <row r="35" spans="2:23" s="76" customFormat="1" ht="20.100000000000001" customHeight="1">
      <c r="B35" s="216" t="s">
        <v>195</v>
      </c>
      <c r="C35" s="217"/>
      <c r="D35" s="234">
        <v>13</v>
      </c>
      <c r="E35" s="218">
        <f t="shared" si="0"/>
        <v>0</v>
      </c>
      <c r="F35" s="219">
        <v>550</v>
      </c>
      <c r="G35" s="220">
        <v>17</v>
      </c>
      <c r="H35" s="221">
        <f t="shared" si="1"/>
        <v>0</v>
      </c>
      <c r="I35" s="221">
        <f t="shared" si="2"/>
        <v>0</v>
      </c>
      <c r="J35" s="222">
        <v>16500</v>
      </c>
      <c r="K35" s="223"/>
      <c r="L35" s="113"/>
      <c r="M35" s="113"/>
      <c r="N35" s="255" t="s">
        <v>195</v>
      </c>
      <c r="O35" s="219">
        <v>16910</v>
      </c>
      <c r="P35" s="219">
        <f t="shared" si="6"/>
        <v>550</v>
      </c>
      <c r="Q35" s="219">
        <v>20</v>
      </c>
      <c r="R35" s="219">
        <f t="shared" si="3"/>
        <v>7850</v>
      </c>
      <c r="S35" s="219">
        <f t="shared" si="4"/>
        <v>15150</v>
      </c>
      <c r="T35" s="249">
        <f t="shared" si="5"/>
        <v>22450</v>
      </c>
      <c r="U35" s="77"/>
      <c r="V35" s="77"/>
      <c r="W35" s="77"/>
    </row>
    <row r="36" spans="2:23" s="76" customFormat="1" ht="20.100000000000001" customHeight="1">
      <c r="B36" s="216" t="s">
        <v>196</v>
      </c>
      <c r="C36" s="217"/>
      <c r="D36" s="234">
        <v>10.4</v>
      </c>
      <c r="E36" s="218">
        <f t="shared" si="0"/>
        <v>0</v>
      </c>
      <c r="F36" s="219">
        <v>400</v>
      </c>
      <c r="G36" s="220">
        <v>14</v>
      </c>
      <c r="H36" s="221">
        <f t="shared" si="1"/>
        <v>0</v>
      </c>
      <c r="I36" s="221">
        <f t="shared" si="2"/>
        <v>0</v>
      </c>
      <c r="J36" s="222">
        <v>13200</v>
      </c>
      <c r="K36" s="223"/>
      <c r="L36" s="113"/>
      <c r="M36" s="113"/>
      <c r="N36" s="255" t="s">
        <v>196</v>
      </c>
      <c r="O36" s="219">
        <v>26650</v>
      </c>
      <c r="P36" s="219">
        <f t="shared" si="6"/>
        <v>400</v>
      </c>
      <c r="Q36" s="219">
        <v>25</v>
      </c>
      <c r="R36" s="219">
        <f t="shared" si="3"/>
        <v>9525</v>
      </c>
      <c r="S36" s="219">
        <f t="shared" si="4"/>
        <v>18650</v>
      </c>
      <c r="T36" s="249">
        <f t="shared" si="5"/>
        <v>27775</v>
      </c>
      <c r="U36" s="77"/>
      <c r="V36" s="77"/>
      <c r="W36" s="77"/>
    </row>
    <row r="37" spans="2:23" s="76" customFormat="1" ht="20.100000000000001" customHeight="1" thickBot="1">
      <c r="B37" s="224" t="s">
        <v>197</v>
      </c>
      <c r="C37" s="225"/>
      <c r="D37" s="246">
        <v>8.67</v>
      </c>
      <c r="E37" s="226">
        <f t="shared" si="0"/>
        <v>0</v>
      </c>
      <c r="F37" s="227">
        <v>350</v>
      </c>
      <c r="G37" s="228">
        <v>13</v>
      </c>
      <c r="H37" s="229">
        <f t="shared" si="1"/>
        <v>0</v>
      </c>
      <c r="I37" s="229">
        <f t="shared" si="2"/>
        <v>0</v>
      </c>
      <c r="J37" s="230">
        <v>11000</v>
      </c>
      <c r="K37" s="231"/>
      <c r="L37" s="113"/>
      <c r="M37" s="113"/>
      <c r="N37" s="257" t="s">
        <v>197</v>
      </c>
      <c r="O37" s="258">
        <v>23540</v>
      </c>
      <c r="P37" s="258">
        <f t="shared" si="6"/>
        <v>350</v>
      </c>
      <c r="Q37" s="258">
        <v>24</v>
      </c>
      <c r="R37" s="258">
        <f t="shared" si="3"/>
        <v>9110</v>
      </c>
      <c r="S37" s="258">
        <f t="shared" si="4"/>
        <v>17870</v>
      </c>
      <c r="T37" s="259">
        <f t="shared" si="5"/>
        <v>26630</v>
      </c>
      <c r="U37" s="77"/>
      <c r="V37" s="77"/>
      <c r="W37" s="77"/>
    </row>
    <row r="38" spans="2:23" ht="20.100000000000001" customHeight="1" thickTop="1">
      <c r="B38" s="148" t="s">
        <v>147</v>
      </c>
      <c r="C38" s="149"/>
      <c r="D38" s="149"/>
      <c r="E38" s="154">
        <f>SUM(E11:E37)</f>
        <v>0</v>
      </c>
      <c r="F38" s="150"/>
      <c r="G38" s="150"/>
      <c r="H38" s="151">
        <f>SUM(H11:H37)</f>
        <v>0</v>
      </c>
      <c r="I38" s="152">
        <f>SUM(I11:I37)</f>
        <v>0</v>
      </c>
      <c r="J38" s="150"/>
      <c r="K38" s="153"/>
      <c r="L38" s="115"/>
      <c r="M38" s="115"/>
    </row>
    <row r="39" spans="2:23" ht="20.100000000000001" customHeight="1">
      <c r="B39" s="85" t="s">
        <v>141</v>
      </c>
      <c r="C39" s="719"/>
      <c r="D39" s="719"/>
      <c r="E39" s="719"/>
      <c r="F39" s="719"/>
      <c r="G39" s="719"/>
      <c r="H39" s="719"/>
      <c r="I39" s="131"/>
      <c r="J39" s="131"/>
      <c r="K39" s="136"/>
    </row>
    <row r="40" spans="2:23" ht="20.100000000000001" customHeight="1">
      <c r="B40" s="91" t="s">
        <v>142</v>
      </c>
      <c r="C40" s="134"/>
      <c r="D40" s="134"/>
      <c r="E40" s="134"/>
      <c r="F40" s="134"/>
      <c r="G40" s="134"/>
      <c r="H40" s="134"/>
      <c r="K40" s="116"/>
      <c r="P40" s="203"/>
    </row>
    <row r="41" spans="2:23" ht="20.100000000000001" customHeight="1" thickBot="1">
      <c r="B41" s="91" t="s">
        <v>143</v>
      </c>
      <c r="C41" s="134"/>
      <c r="D41" s="134"/>
      <c r="E41" s="134"/>
      <c r="F41" s="134"/>
      <c r="G41" s="134"/>
      <c r="H41" s="134"/>
      <c r="K41" s="116"/>
    </row>
    <row r="42" spans="2:23" ht="20.100000000000001" customHeight="1" thickBot="1">
      <c r="B42" s="91" t="s">
        <v>165</v>
      </c>
      <c r="C42" s="134"/>
      <c r="D42" s="132"/>
      <c r="E42" s="134"/>
      <c r="F42" s="135">
        <f>H38+(I38*90)</f>
        <v>0</v>
      </c>
      <c r="G42" s="133" t="s">
        <v>166</v>
      </c>
      <c r="H42" s="134" t="s">
        <v>167</v>
      </c>
      <c r="I42" s="134" t="s">
        <v>168</v>
      </c>
      <c r="J42" s="135">
        <f>K38</f>
        <v>0</v>
      </c>
      <c r="K42" s="133" t="s">
        <v>169</v>
      </c>
      <c r="P42" s="204"/>
    </row>
    <row r="43" spans="2:23" ht="20.100000000000001" customHeight="1">
      <c r="B43" s="91" t="s">
        <v>198</v>
      </c>
      <c r="C43" s="82"/>
      <c r="D43" s="83"/>
      <c r="E43" s="83"/>
      <c r="F43" s="117"/>
      <c r="G43" s="118"/>
      <c r="H43" s="118"/>
      <c r="K43" s="116"/>
    </row>
    <row r="44" spans="2:23" ht="20.100000000000001" customHeight="1">
      <c r="B44" s="91" t="s">
        <v>199</v>
      </c>
      <c r="C44" s="82"/>
      <c r="D44" s="83"/>
      <c r="E44" s="83"/>
      <c r="F44" s="117"/>
      <c r="G44" s="118"/>
      <c r="H44" s="118"/>
      <c r="K44" s="116"/>
    </row>
    <row r="45" spans="2:23" ht="20.100000000000001" customHeight="1" thickBot="1">
      <c r="B45" s="137" t="s">
        <v>200</v>
      </c>
      <c r="C45" s="138"/>
      <c r="D45" s="139"/>
      <c r="E45" s="139"/>
      <c r="F45" s="139"/>
      <c r="G45" s="140"/>
      <c r="H45" s="141"/>
      <c r="I45" s="142"/>
      <c r="J45" s="142"/>
      <c r="K45" s="119"/>
    </row>
    <row r="46" spans="2:23" ht="24.75" thickBot="1">
      <c r="B46" s="720" t="s">
        <v>6</v>
      </c>
      <c r="C46" s="721"/>
      <c r="D46" s="721"/>
      <c r="E46" s="721"/>
      <c r="F46" s="721"/>
      <c r="G46" s="721"/>
      <c r="H46" s="721"/>
      <c r="I46" s="721"/>
      <c r="J46" s="721"/>
      <c r="K46" s="722"/>
    </row>
  </sheetData>
  <mergeCells count="19">
    <mergeCell ref="J9:J10"/>
    <mergeCell ref="K9:K10"/>
    <mergeCell ref="C39:H39"/>
    <mergeCell ref="B46:K46"/>
    <mergeCell ref="B9:B10"/>
    <mergeCell ref="C9:C10"/>
    <mergeCell ref="D9:D10"/>
    <mergeCell ref="E9:E10"/>
    <mergeCell ref="F9:G9"/>
    <mergeCell ref="H9:I9"/>
    <mergeCell ref="B1:K1"/>
    <mergeCell ref="H3:J3"/>
    <mergeCell ref="K3:K7"/>
    <mergeCell ref="C4:E4"/>
    <mergeCell ref="C5:E5"/>
    <mergeCell ref="H5:J5"/>
    <mergeCell ref="C6:E6"/>
    <mergeCell ref="H6:J6"/>
    <mergeCell ref="H7:J7"/>
  </mergeCells>
  <phoneticPr fontId="78" type="noConversion"/>
  <printOptions horizontalCentered="1"/>
  <pageMargins left="0" right="0" top="0.39370078740157483" bottom="0" header="0.23622047244094491" footer="0.19685039370078741"/>
  <pageSetup paperSize="9" scale="7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W44"/>
  <sheetViews>
    <sheetView view="pageBreakPreview" topLeftCell="A19" zoomScaleNormal="100" zoomScaleSheetLayoutView="100" workbookViewId="0">
      <selection activeCell="F24" sqref="F24"/>
    </sheetView>
  </sheetViews>
  <sheetFormatPr defaultColWidth="9" defaultRowHeight="14.25"/>
  <cols>
    <col min="1" max="1" width="9" style="72"/>
    <col min="2" max="2" width="19.75" style="72" customWidth="1"/>
    <col min="3" max="3" width="7.25" style="72" bestFit="1" customWidth="1"/>
    <col min="4" max="4" width="9.75" style="72" bestFit="1" customWidth="1"/>
    <col min="5" max="5" width="11.75" style="72" bestFit="1" customWidth="1"/>
    <col min="6" max="6" width="14.125" style="72" customWidth="1"/>
    <col min="7" max="7" width="12.625" style="72" customWidth="1"/>
    <col min="8" max="8" width="14.875" style="72" customWidth="1"/>
    <col min="9" max="9" width="12.75" style="73" customWidth="1"/>
    <col min="10" max="13" width="12.25" style="73" customWidth="1"/>
    <col min="14" max="14" width="15.375" style="73" customWidth="1"/>
    <col min="15" max="15" width="12.625" style="73" bestFit="1" customWidth="1"/>
    <col min="16" max="19" width="12.625" style="73" customWidth="1"/>
    <col min="20" max="20" width="12.875" style="73" bestFit="1" customWidth="1"/>
    <col min="21" max="22" width="14.625" style="73" bestFit="1" customWidth="1"/>
    <col min="23" max="23" width="9" style="73"/>
    <col min="24" max="16384" width="9" style="72"/>
  </cols>
  <sheetData>
    <row r="1" spans="2:23" ht="42" customHeight="1">
      <c r="B1" s="677" t="s">
        <v>148</v>
      </c>
      <c r="C1" s="677"/>
      <c r="D1" s="677"/>
      <c r="E1" s="677"/>
      <c r="F1" s="677"/>
      <c r="G1" s="677"/>
      <c r="H1" s="677"/>
      <c r="I1" s="677"/>
      <c r="J1" s="677"/>
      <c r="K1" s="677"/>
    </row>
    <row r="2" spans="2:23" ht="42.75" customHeight="1">
      <c r="B2" s="84"/>
      <c r="C2" s="84"/>
      <c r="D2" s="84"/>
      <c r="E2" s="84"/>
      <c r="F2" s="73"/>
      <c r="G2" s="73"/>
      <c r="H2" s="73"/>
    </row>
    <row r="3" spans="2:23" ht="27.75" thickBot="1">
      <c r="B3" s="84"/>
      <c r="C3" s="84"/>
      <c r="D3" s="84"/>
      <c r="E3" s="84"/>
      <c r="F3" s="84"/>
      <c r="G3" s="105" t="s">
        <v>2</v>
      </c>
      <c r="H3" s="678" t="s">
        <v>3</v>
      </c>
      <c r="I3" s="679"/>
      <c r="J3" s="680"/>
      <c r="K3" s="568"/>
    </row>
    <row r="4" spans="2:23" ht="20.100000000000001" customHeight="1">
      <c r="B4" s="143" t="s">
        <v>1</v>
      </c>
      <c r="C4" s="681"/>
      <c r="D4" s="681"/>
      <c r="E4" s="682"/>
      <c r="F4" s="84"/>
      <c r="G4" s="106" t="s">
        <v>5</v>
      </c>
      <c r="H4" s="102" t="s">
        <v>6</v>
      </c>
      <c r="I4" s="106" t="s">
        <v>7</v>
      </c>
      <c r="J4" s="101" t="s">
        <v>8</v>
      </c>
      <c r="K4" s="569"/>
    </row>
    <row r="5" spans="2:23" ht="20.100000000000001" customHeight="1">
      <c r="B5" s="144" t="s">
        <v>4</v>
      </c>
      <c r="C5" s="591"/>
      <c r="D5" s="592"/>
      <c r="E5" s="683"/>
      <c r="F5" s="84"/>
      <c r="G5" s="106" t="s">
        <v>11</v>
      </c>
      <c r="H5" s="705" t="s">
        <v>12</v>
      </c>
      <c r="I5" s="706"/>
      <c r="J5" s="707"/>
      <c r="K5" s="569"/>
    </row>
    <row r="6" spans="2:23" ht="20.100000000000001" customHeight="1" thickBot="1">
      <c r="B6" s="145" t="s">
        <v>92</v>
      </c>
      <c r="C6" s="708"/>
      <c r="D6" s="685"/>
      <c r="E6" s="686"/>
      <c r="F6" s="84"/>
      <c r="G6" s="147" t="s">
        <v>13</v>
      </c>
      <c r="H6" s="709" t="s">
        <v>14</v>
      </c>
      <c r="I6" s="710"/>
      <c r="J6" s="711"/>
      <c r="K6" s="569"/>
    </row>
    <row r="7" spans="2:23" ht="20.100000000000001" customHeight="1">
      <c r="B7" s="84"/>
      <c r="C7" s="84"/>
      <c r="D7" s="84"/>
      <c r="E7" s="84"/>
      <c r="F7" s="73"/>
      <c r="G7" s="146" t="s">
        <v>93</v>
      </c>
      <c r="H7" s="712" t="s">
        <v>256</v>
      </c>
      <c r="I7" s="713"/>
      <c r="J7" s="714"/>
      <c r="K7" s="570"/>
      <c r="L7" s="112"/>
      <c r="M7" s="112"/>
    </row>
    <row r="8" spans="2:23" ht="20.100000000000001" customHeight="1" thickBot="1">
      <c r="B8" s="75"/>
      <c r="C8" s="75"/>
      <c r="D8" s="75"/>
      <c r="E8" s="75"/>
      <c r="F8" s="75"/>
      <c r="G8" s="75"/>
      <c r="H8" s="75"/>
    </row>
    <row r="9" spans="2:23" ht="20.100000000000001" customHeight="1" thickBot="1">
      <c r="B9" s="723" t="s">
        <v>94</v>
      </c>
      <c r="C9" s="715" t="s">
        <v>95</v>
      </c>
      <c r="D9" s="715" t="s">
        <v>96</v>
      </c>
      <c r="E9" s="715" t="s">
        <v>150</v>
      </c>
      <c r="F9" s="725" t="s">
        <v>151</v>
      </c>
      <c r="G9" s="726"/>
      <c r="H9" s="725" t="s">
        <v>152</v>
      </c>
      <c r="I9" s="726"/>
      <c r="J9" s="715" t="s">
        <v>98</v>
      </c>
      <c r="K9" s="717" t="s">
        <v>153</v>
      </c>
      <c r="L9" s="74"/>
      <c r="M9" s="74"/>
    </row>
    <row r="10" spans="2:23" ht="20.100000000000001" customHeight="1" thickBot="1">
      <c r="B10" s="724"/>
      <c r="C10" s="716"/>
      <c r="D10" s="716"/>
      <c r="E10" s="716"/>
      <c r="F10" s="129" t="s">
        <v>154</v>
      </c>
      <c r="G10" s="129" t="s">
        <v>155</v>
      </c>
      <c r="H10" s="129" t="s">
        <v>156</v>
      </c>
      <c r="I10" s="129" t="s">
        <v>157</v>
      </c>
      <c r="J10" s="716"/>
      <c r="K10" s="718"/>
      <c r="L10" s="74"/>
      <c r="M10" s="74"/>
      <c r="N10" s="86" t="s">
        <v>158</v>
      </c>
      <c r="O10" s="86" t="s">
        <v>159</v>
      </c>
      <c r="P10" s="87" t="s">
        <v>160</v>
      </c>
      <c r="Q10" s="87" t="s">
        <v>161</v>
      </c>
      <c r="R10" s="87" t="s">
        <v>162</v>
      </c>
      <c r="S10" s="174" t="s">
        <v>163</v>
      </c>
      <c r="T10" s="87" t="s">
        <v>164</v>
      </c>
    </row>
    <row r="11" spans="2:23" s="76" customFormat="1" ht="20.100000000000001" customHeight="1">
      <c r="B11" s="205" t="s">
        <v>171</v>
      </c>
      <c r="C11" s="163"/>
      <c r="D11" s="244">
        <v>4.2</v>
      </c>
      <c r="E11" s="164">
        <f t="shared" ref="E11:E35" si="0">D11*C11</f>
        <v>0</v>
      </c>
      <c r="F11" s="165">
        <f t="shared" ref="F11:G27" si="1">P11</f>
        <v>300</v>
      </c>
      <c r="G11" s="166">
        <f t="shared" si="1"/>
        <v>8</v>
      </c>
      <c r="H11" s="167">
        <f>F11*C11</f>
        <v>0</v>
      </c>
      <c r="I11" s="167">
        <f>G11*C11</f>
        <v>0</v>
      </c>
      <c r="J11" s="168">
        <v>7390</v>
      </c>
      <c r="K11" s="169"/>
      <c r="L11" s="113"/>
      <c r="M11" s="113"/>
      <c r="N11" s="300" t="s">
        <v>171</v>
      </c>
      <c r="O11" s="182">
        <v>7390</v>
      </c>
      <c r="P11" s="182">
        <v>300</v>
      </c>
      <c r="Q11" s="303">
        <v>8</v>
      </c>
      <c r="R11" s="182">
        <f>P11+(Q11*365)</f>
        <v>3220</v>
      </c>
      <c r="S11" s="182">
        <f>P11+(Q11*730)</f>
        <v>6140</v>
      </c>
      <c r="T11" s="183">
        <f>P11+(Q11*1095)</f>
        <v>9060</v>
      </c>
      <c r="U11" s="77"/>
      <c r="V11" s="77"/>
      <c r="W11" s="77"/>
    </row>
    <row r="12" spans="2:23" s="76" customFormat="1" ht="20.100000000000001" customHeight="1" thickBot="1">
      <c r="B12" s="207" t="s">
        <v>172</v>
      </c>
      <c r="C12" s="158"/>
      <c r="D12" s="232">
        <v>5.5</v>
      </c>
      <c r="E12" s="159">
        <f t="shared" si="0"/>
        <v>0</v>
      </c>
      <c r="F12" s="120">
        <f t="shared" si="1"/>
        <v>360</v>
      </c>
      <c r="G12" s="160">
        <f t="shared" si="1"/>
        <v>9</v>
      </c>
      <c r="H12" s="170">
        <f t="shared" ref="H12:H35" si="2">F12*C12</f>
        <v>0</v>
      </c>
      <c r="I12" s="170">
        <f t="shared" ref="I12:I35" si="3">G12*C12</f>
        <v>0</v>
      </c>
      <c r="J12" s="161">
        <v>7500</v>
      </c>
      <c r="K12" s="162"/>
      <c r="L12" s="113"/>
      <c r="M12" s="113"/>
      <c r="N12" s="301" t="s">
        <v>172</v>
      </c>
      <c r="O12" s="177">
        <v>8000</v>
      </c>
      <c r="P12" s="177">
        <v>360</v>
      </c>
      <c r="Q12" s="303">
        <v>9</v>
      </c>
      <c r="R12" s="177">
        <f t="shared" ref="R12:R35" si="4">P12+(Q12*365)</f>
        <v>3645</v>
      </c>
      <c r="S12" s="177">
        <f t="shared" ref="S12:S35" si="5">P12+(Q12*730)</f>
        <v>6930</v>
      </c>
      <c r="T12" s="178">
        <f t="shared" ref="T12:T35" si="6">P12+(Q12*1095)</f>
        <v>10215</v>
      </c>
      <c r="U12" s="77"/>
      <c r="V12" s="77"/>
      <c r="W12" s="77"/>
    </row>
    <row r="13" spans="2:23" s="76" customFormat="1" ht="20.100000000000001" customHeight="1" thickTop="1">
      <c r="B13" s="208" t="str">
        <f>N13</f>
        <v>P-17/1725</v>
      </c>
      <c r="C13" s="209"/>
      <c r="D13" s="233">
        <v>8</v>
      </c>
      <c r="E13" s="210">
        <f t="shared" si="0"/>
        <v>0</v>
      </c>
      <c r="F13" s="211">
        <f t="shared" si="1"/>
        <v>100</v>
      </c>
      <c r="G13" s="212">
        <f t="shared" si="1"/>
        <v>5</v>
      </c>
      <c r="H13" s="213">
        <f t="shared" si="2"/>
        <v>0</v>
      </c>
      <c r="I13" s="213">
        <f t="shared" si="3"/>
        <v>0</v>
      </c>
      <c r="J13" s="214">
        <f t="shared" ref="J13:J26" si="7">O13</f>
        <v>11800</v>
      </c>
      <c r="K13" s="215"/>
      <c r="L13" s="113"/>
      <c r="M13" s="113"/>
      <c r="N13" s="301" t="s">
        <v>242</v>
      </c>
      <c r="O13" s="177">
        <v>11800</v>
      </c>
      <c r="P13" s="177">
        <v>100</v>
      </c>
      <c r="Q13" s="303">
        <v>5</v>
      </c>
      <c r="R13" s="177">
        <f t="shared" si="4"/>
        <v>1925</v>
      </c>
      <c r="S13" s="177">
        <f t="shared" si="5"/>
        <v>3750</v>
      </c>
      <c r="T13" s="178">
        <f t="shared" si="6"/>
        <v>5575</v>
      </c>
      <c r="U13" s="77"/>
      <c r="V13" s="77"/>
      <c r="W13" s="77"/>
    </row>
    <row r="14" spans="2:23" s="76" customFormat="1" ht="20.100000000000001" customHeight="1">
      <c r="B14" s="216" t="str">
        <f>N14</f>
        <v>P-12/1291</v>
      </c>
      <c r="C14" s="217"/>
      <c r="D14" s="234">
        <v>6.2</v>
      </c>
      <c r="E14" s="218">
        <f t="shared" si="0"/>
        <v>0</v>
      </c>
      <c r="F14" s="219">
        <f t="shared" si="1"/>
        <v>500</v>
      </c>
      <c r="G14" s="220">
        <f t="shared" si="1"/>
        <v>9</v>
      </c>
      <c r="H14" s="221">
        <f t="shared" si="2"/>
        <v>0</v>
      </c>
      <c r="I14" s="221">
        <f t="shared" si="3"/>
        <v>0</v>
      </c>
      <c r="J14" s="222">
        <f t="shared" si="7"/>
        <v>10000</v>
      </c>
      <c r="K14" s="223"/>
      <c r="L14" s="113"/>
      <c r="M14" s="113"/>
      <c r="N14" s="301" t="s">
        <v>243</v>
      </c>
      <c r="O14" s="177">
        <v>10000</v>
      </c>
      <c r="P14" s="177">
        <v>500</v>
      </c>
      <c r="Q14" s="303">
        <v>9</v>
      </c>
      <c r="R14" s="177">
        <f t="shared" si="4"/>
        <v>3785</v>
      </c>
      <c r="S14" s="177">
        <f t="shared" si="5"/>
        <v>7070</v>
      </c>
      <c r="T14" s="178">
        <f t="shared" si="6"/>
        <v>10355</v>
      </c>
      <c r="U14" s="77"/>
      <c r="V14" s="77"/>
      <c r="W14" s="77"/>
    </row>
    <row r="15" spans="2:23" s="76" customFormat="1" ht="20.100000000000001" customHeight="1">
      <c r="B15" s="216" t="str">
        <f>N15</f>
        <v>P-08/863</v>
      </c>
      <c r="C15" s="217"/>
      <c r="D15" s="234">
        <v>4.5999999999999996</v>
      </c>
      <c r="E15" s="218">
        <f t="shared" si="0"/>
        <v>0</v>
      </c>
      <c r="F15" s="219">
        <f t="shared" si="1"/>
        <v>300</v>
      </c>
      <c r="G15" s="220">
        <f t="shared" si="1"/>
        <v>8</v>
      </c>
      <c r="H15" s="221">
        <f t="shared" si="2"/>
        <v>0</v>
      </c>
      <c r="I15" s="221">
        <f t="shared" si="3"/>
        <v>0</v>
      </c>
      <c r="J15" s="222">
        <f t="shared" si="7"/>
        <v>7100</v>
      </c>
      <c r="K15" s="223"/>
      <c r="L15" s="113"/>
      <c r="M15" s="113"/>
      <c r="N15" s="301" t="s">
        <v>244</v>
      </c>
      <c r="O15" s="177">
        <v>7100</v>
      </c>
      <c r="P15" s="177">
        <v>300</v>
      </c>
      <c r="Q15" s="303">
        <v>8</v>
      </c>
      <c r="R15" s="177">
        <f t="shared" si="4"/>
        <v>3220</v>
      </c>
      <c r="S15" s="177">
        <f t="shared" si="5"/>
        <v>6140</v>
      </c>
      <c r="T15" s="178">
        <f t="shared" si="6"/>
        <v>9060</v>
      </c>
      <c r="U15" s="77"/>
      <c r="V15" s="77"/>
      <c r="W15" s="77"/>
    </row>
    <row r="16" spans="2:23" s="76" customFormat="1" ht="20.100000000000001" customHeight="1">
      <c r="B16" s="216" t="str">
        <f t="shared" ref="B16:B35" si="8">N16</f>
        <v>P-04/432</v>
      </c>
      <c r="C16" s="217"/>
      <c r="D16" s="234">
        <v>3</v>
      </c>
      <c r="E16" s="218">
        <f t="shared" si="0"/>
        <v>0</v>
      </c>
      <c r="F16" s="219">
        <f t="shared" si="1"/>
        <v>200</v>
      </c>
      <c r="G16" s="220">
        <f t="shared" si="1"/>
        <v>7</v>
      </c>
      <c r="H16" s="221">
        <f t="shared" si="2"/>
        <v>0</v>
      </c>
      <c r="I16" s="221">
        <f t="shared" si="3"/>
        <v>0</v>
      </c>
      <c r="J16" s="222">
        <f t="shared" si="7"/>
        <v>5100</v>
      </c>
      <c r="K16" s="223"/>
      <c r="L16" s="113"/>
      <c r="M16" s="113"/>
      <c r="N16" s="301" t="s">
        <v>245</v>
      </c>
      <c r="O16" s="177">
        <v>5100</v>
      </c>
      <c r="P16" s="177">
        <v>200</v>
      </c>
      <c r="Q16" s="303">
        <v>7</v>
      </c>
      <c r="R16" s="177">
        <f t="shared" si="4"/>
        <v>2755</v>
      </c>
      <c r="S16" s="177">
        <f t="shared" si="5"/>
        <v>5310</v>
      </c>
      <c r="T16" s="178">
        <f t="shared" si="6"/>
        <v>7865</v>
      </c>
      <c r="U16" s="77"/>
      <c r="V16" s="77"/>
      <c r="W16" s="77"/>
    </row>
    <row r="17" spans="2:23" s="76" customFormat="1" ht="20.100000000000001" customHeight="1">
      <c r="B17" s="216" t="str">
        <f t="shared" si="8"/>
        <v>P-02-216</v>
      </c>
      <c r="C17" s="217"/>
      <c r="D17" s="234">
        <v>2.2000000000000002</v>
      </c>
      <c r="E17" s="218">
        <f t="shared" si="0"/>
        <v>0</v>
      </c>
      <c r="F17" s="219">
        <f t="shared" si="1"/>
        <v>170</v>
      </c>
      <c r="G17" s="220">
        <f t="shared" si="1"/>
        <v>6</v>
      </c>
      <c r="H17" s="221">
        <f t="shared" si="2"/>
        <v>0</v>
      </c>
      <c r="I17" s="221">
        <f t="shared" si="3"/>
        <v>0</v>
      </c>
      <c r="J17" s="222">
        <f t="shared" si="7"/>
        <v>4100</v>
      </c>
      <c r="K17" s="223"/>
      <c r="L17" s="113"/>
      <c r="M17" s="113"/>
      <c r="N17" s="301" t="s">
        <v>246</v>
      </c>
      <c r="O17" s="177">
        <v>4100</v>
      </c>
      <c r="P17" s="177">
        <v>170</v>
      </c>
      <c r="Q17" s="303">
        <v>6</v>
      </c>
      <c r="R17" s="177">
        <f t="shared" si="4"/>
        <v>2360</v>
      </c>
      <c r="S17" s="177">
        <f t="shared" si="5"/>
        <v>4550</v>
      </c>
      <c r="T17" s="178">
        <f t="shared" si="6"/>
        <v>6740</v>
      </c>
      <c r="U17" s="77"/>
      <c r="V17" s="77"/>
      <c r="W17" s="77"/>
    </row>
    <row r="18" spans="2:23" s="76" customFormat="1" ht="20.100000000000001" customHeight="1" thickBot="1">
      <c r="B18" s="224" t="str">
        <f t="shared" si="8"/>
        <v>소켓 120L</v>
      </c>
      <c r="C18" s="225"/>
      <c r="D18" s="246">
        <v>0.5</v>
      </c>
      <c r="E18" s="226">
        <f t="shared" si="0"/>
        <v>0</v>
      </c>
      <c r="F18" s="227">
        <f t="shared" si="1"/>
        <v>120</v>
      </c>
      <c r="G18" s="228">
        <f t="shared" si="1"/>
        <v>3</v>
      </c>
      <c r="H18" s="229">
        <f t="shared" si="2"/>
        <v>0</v>
      </c>
      <c r="I18" s="229">
        <f t="shared" si="3"/>
        <v>0</v>
      </c>
      <c r="J18" s="230">
        <f t="shared" si="7"/>
        <v>880</v>
      </c>
      <c r="K18" s="231"/>
      <c r="L18" s="113"/>
      <c r="M18" s="113"/>
      <c r="N18" s="301" t="s">
        <v>247</v>
      </c>
      <c r="O18" s="177">
        <v>880</v>
      </c>
      <c r="P18" s="177">
        <v>120</v>
      </c>
      <c r="Q18" s="303">
        <v>3</v>
      </c>
      <c r="R18" s="177">
        <f t="shared" si="4"/>
        <v>1215</v>
      </c>
      <c r="S18" s="177">
        <f t="shared" si="5"/>
        <v>2310</v>
      </c>
      <c r="T18" s="178">
        <f t="shared" si="6"/>
        <v>3405</v>
      </c>
      <c r="U18" s="77"/>
      <c r="V18" s="77"/>
      <c r="W18" s="77"/>
    </row>
    <row r="19" spans="2:23" s="76" customFormat="1" ht="20.100000000000001" customHeight="1" thickTop="1">
      <c r="B19" s="305" t="str">
        <f t="shared" ref="B19" si="9">N19</f>
        <v>H-18/1817</v>
      </c>
      <c r="C19" s="306"/>
      <c r="D19" s="307">
        <v>4</v>
      </c>
      <c r="E19" s="308">
        <f t="shared" ref="E19" si="10">D19*C19</f>
        <v>0</v>
      </c>
      <c r="F19" s="309">
        <f t="shared" ref="F19" si="11">P19</f>
        <v>200</v>
      </c>
      <c r="G19" s="310">
        <f t="shared" ref="G19" si="12">Q19</f>
        <v>13</v>
      </c>
      <c r="H19" s="311">
        <f t="shared" ref="H19" si="13">F19*C19</f>
        <v>0</v>
      </c>
      <c r="I19" s="311">
        <f t="shared" ref="I19" si="14">G19*C19</f>
        <v>0</v>
      </c>
      <c r="J19" s="312">
        <f t="shared" ref="J19" si="15">O19</f>
        <v>6600</v>
      </c>
      <c r="K19" s="313"/>
      <c r="L19" s="113"/>
      <c r="M19" s="113"/>
      <c r="N19" s="301" t="s">
        <v>259</v>
      </c>
      <c r="O19" s="177">
        <v>6600</v>
      </c>
      <c r="P19" s="177">
        <v>200</v>
      </c>
      <c r="Q19" s="303">
        <v>13</v>
      </c>
      <c r="R19" s="177">
        <f t="shared" ref="R19" si="16">P19+(Q19*365)</f>
        <v>4945</v>
      </c>
      <c r="S19" s="177">
        <f t="shared" ref="S19" si="17">P19+(Q19*730)</f>
        <v>9690</v>
      </c>
      <c r="T19" s="178">
        <f t="shared" ref="T19" si="18">P19+(Q19*1095)</f>
        <v>14435</v>
      </c>
      <c r="U19" s="77"/>
      <c r="V19" s="77"/>
      <c r="W19" s="77"/>
    </row>
    <row r="20" spans="2:23" s="76" customFormat="1" ht="20.100000000000001" customHeight="1">
      <c r="B20" s="314" t="str">
        <f t="shared" si="8"/>
        <v>H-15/1463</v>
      </c>
      <c r="C20" s="315"/>
      <c r="D20" s="316">
        <v>4</v>
      </c>
      <c r="E20" s="317">
        <f t="shared" si="0"/>
        <v>0</v>
      </c>
      <c r="F20" s="318">
        <f t="shared" si="1"/>
        <v>200</v>
      </c>
      <c r="G20" s="319">
        <f t="shared" si="1"/>
        <v>13</v>
      </c>
      <c r="H20" s="320">
        <f t="shared" si="2"/>
        <v>0</v>
      </c>
      <c r="I20" s="320">
        <f t="shared" si="3"/>
        <v>0</v>
      </c>
      <c r="J20" s="321">
        <f t="shared" si="7"/>
        <v>6600</v>
      </c>
      <c r="K20" s="322"/>
      <c r="L20" s="113"/>
      <c r="M20" s="113"/>
      <c r="N20" s="301" t="s">
        <v>248</v>
      </c>
      <c r="O20" s="177">
        <v>6600</v>
      </c>
      <c r="P20" s="177">
        <v>200</v>
      </c>
      <c r="Q20" s="303">
        <v>13</v>
      </c>
      <c r="R20" s="177">
        <f t="shared" si="4"/>
        <v>4945</v>
      </c>
      <c r="S20" s="177">
        <f t="shared" si="5"/>
        <v>9690</v>
      </c>
      <c r="T20" s="178">
        <f t="shared" si="6"/>
        <v>14435</v>
      </c>
      <c r="U20" s="77"/>
      <c r="V20" s="77"/>
      <c r="W20" s="77"/>
    </row>
    <row r="21" spans="2:23" s="76" customFormat="1" ht="20.100000000000001" customHeight="1">
      <c r="B21" s="314" t="str">
        <f t="shared" si="8"/>
        <v>H-12/1158</v>
      </c>
      <c r="C21" s="315"/>
      <c r="D21" s="316">
        <v>3.3</v>
      </c>
      <c r="E21" s="317">
        <f t="shared" si="0"/>
        <v>0</v>
      </c>
      <c r="F21" s="318">
        <f t="shared" si="1"/>
        <v>330</v>
      </c>
      <c r="G21" s="319">
        <f t="shared" si="1"/>
        <v>7</v>
      </c>
      <c r="H21" s="320">
        <f t="shared" si="2"/>
        <v>0</v>
      </c>
      <c r="I21" s="320">
        <f t="shared" si="3"/>
        <v>0</v>
      </c>
      <c r="J21" s="321">
        <f t="shared" si="7"/>
        <v>5800</v>
      </c>
      <c r="K21" s="322"/>
      <c r="L21" s="113"/>
      <c r="M21" s="113"/>
      <c r="N21" s="301" t="s">
        <v>249</v>
      </c>
      <c r="O21" s="177">
        <v>5800</v>
      </c>
      <c r="P21" s="177">
        <v>330</v>
      </c>
      <c r="Q21" s="303">
        <v>7</v>
      </c>
      <c r="R21" s="177">
        <f t="shared" si="4"/>
        <v>2885</v>
      </c>
      <c r="S21" s="177">
        <f t="shared" si="5"/>
        <v>5440</v>
      </c>
      <c r="T21" s="178">
        <f t="shared" si="6"/>
        <v>7995</v>
      </c>
      <c r="U21" s="77"/>
      <c r="V21" s="77"/>
      <c r="W21" s="77"/>
    </row>
    <row r="22" spans="2:23" s="76" customFormat="1" ht="20.100000000000001" customHeight="1">
      <c r="B22" s="314" t="str">
        <f t="shared" si="8"/>
        <v>H-09/853</v>
      </c>
      <c r="C22" s="315"/>
      <c r="D22" s="316">
        <v>2.6</v>
      </c>
      <c r="E22" s="317">
        <f t="shared" si="0"/>
        <v>0</v>
      </c>
      <c r="F22" s="318">
        <f t="shared" si="1"/>
        <v>290</v>
      </c>
      <c r="G22" s="319">
        <f t="shared" si="1"/>
        <v>4</v>
      </c>
      <c r="H22" s="320">
        <f t="shared" si="2"/>
        <v>0</v>
      </c>
      <c r="I22" s="320">
        <f t="shared" si="3"/>
        <v>0</v>
      </c>
      <c r="J22" s="321">
        <f t="shared" si="7"/>
        <v>4800</v>
      </c>
      <c r="K22" s="322"/>
      <c r="L22" s="113"/>
      <c r="M22" s="113"/>
      <c r="N22" s="301" t="s">
        <v>250</v>
      </c>
      <c r="O22" s="177">
        <v>4800</v>
      </c>
      <c r="P22" s="177">
        <v>290</v>
      </c>
      <c r="Q22" s="303">
        <v>4</v>
      </c>
      <c r="R22" s="177">
        <f t="shared" si="4"/>
        <v>1750</v>
      </c>
      <c r="S22" s="177">
        <f t="shared" si="5"/>
        <v>3210</v>
      </c>
      <c r="T22" s="178">
        <f t="shared" si="6"/>
        <v>4670</v>
      </c>
      <c r="U22" s="77"/>
      <c r="V22" s="77"/>
      <c r="W22" s="77"/>
    </row>
    <row r="23" spans="2:23" s="76" customFormat="1" ht="20.100000000000001" customHeight="1">
      <c r="B23" s="314" t="str">
        <f t="shared" si="8"/>
        <v>H-06/549</v>
      </c>
      <c r="C23" s="315"/>
      <c r="D23" s="316">
        <v>2</v>
      </c>
      <c r="E23" s="317">
        <f t="shared" si="0"/>
        <v>0</v>
      </c>
      <c r="F23" s="318">
        <f t="shared" si="1"/>
        <v>260</v>
      </c>
      <c r="G23" s="319">
        <f t="shared" si="1"/>
        <v>4</v>
      </c>
      <c r="H23" s="320">
        <f t="shared" si="2"/>
        <v>0</v>
      </c>
      <c r="I23" s="320">
        <f t="shared" si="3"/>
        <v>0</v>
      </c>
      <c r="J23" s="321">
        <f t="shared" si="7"/>
        <v>4100</v>
      </c>
      <c r="K23" s="322"/>
      <c r="L23" s="113"/>
      <c r="M23" s="113"/>
      <c r="N23" s="301" t="s">
        <v>251</v>
      </c>
      <c r="O23" s="177">
        <v>4100</v>
      </c>
      <c r="P23" s="177">
        <v>260</v>
      </c>
      <c r="Q23" s="303">
        <v>4</v>
      </c>
      <c r="R23" s="177">
        <f t="shared" si="4"/>
        <v>1720</v>
      </c>
      <c r="S23" s="177">
        <f t="shared" si="5"/>
        <v>3180</v>
      </c>
      <c r="T23" s="178">
        <f t="shared" si="6"/>
        <v>4640</v>
      </c>
      <c r="U23" s="77"/>
      <c r="V23" s="77"/>
      <c r="W23" s="77"/>
    </row>
    <row r="24" spans="2:23" s="76" customFormat="1" ht="20.100000000000001" customHeight="1">
      <c r="B24" s="323" t="str">
        <f t="shared" si="8"/>
        <v>H-03/244</v>
      </c>
      <c r="C24" s="324"/>
      <c r="D24" s="325">
        <v>1.3</v>
      </c>
      <c r="E24" s="326">
        <f t="shared" si="0"/>
        <v>0</v>
      </c>
      <c r="F24" s="327">
        <f t="shared" si="1"/>
        <v>320</v>
      </c>
      <c r="G24" s="328">
        <f t="shared" si="1"/>
        <v>9</v>
      </c>
      <c r="H24" s="329">
        <f t="shared" si="2"/>
        <v>0</v>
      </c>
      <c r="I24" s="329">
        <f t="shared" si="3"/>
        <v>0</v>
      </c>
      <c r="J24" s="330">
        <f t="shared" si="7"/>
        <v>3400</v>
      </c>
      <c r="K24" s="331"/>
      <c r="L24" s="113"/>
      <c r="M24" s="113"/>
      <c r="N24" s="301" t="s">
        <v>252</v>
      </c>
      <c r="O24" s="177">
        <v>3400</v>
      </c>
      <c r="P24" s="177">
        <v>320</v>
      </c>
      <c r="Q24" s="303">
        <v>9</v>
      </c>
      <c r="R24" s="177">
        <f t="shared" si="4"/>
        <v>3605</v>
      </c>
      <c r="S24" s="177">
        <f t="shared" si="5"/>
        <v>6890</v>
      </c>
      <c r="T24" s="178">
        <f t="shared" si="6"/>
        <v>10175</v>
      </c>
      <c r="U24" s="77"/>
      <c r="V24" s="77"/>
      <c r="W24" s="77"/>
    </row>
    <row r="25" spans="2:23" s="76" customFormat="1" ht="20.100000000000001" customHeight="1">
      <c r="B25" s="332" t="str">
        <f t="shared" si="8"/>
        <v>대각재-B1725</v>
      </c>
      <c r="C25" s="333"/>
      <c r="D25" s="334">
        <v>5.3</v>
      </c>
      <c r="E25" s="335">
        <f t="shared" si="0"/>
        <v>0</v>
      </c>
      <c r="F25" s="336">
        <f t="shared" si="1"/>
        <v>290</v>
      </c>
      <c r="G25" s="337">
        <f t="shared" si="1"/>
        <v>8</v>
      </c>
      <c r="H25" s="338">
        <f t="shared" si="2"/>
        <v>0</v>
      </c>
      <c r="I25" s="338">
        <f t="shared" si="3"/>
        <v>0</v>
      </c>
      <c r="J25" s="339">
        <f t="shared" si="7"/>
        <v>9300</v>
      </c>
      <c r="K25" s="340"/>
      <c r="L25" s="113"/>
      <c r="M25" s="113"/>
      <c r="N25" s="301" t="s">
        <v>253</v>
      </c>
      <c r="O25" s="177">
        <v>9300</v>
      </c>
      <c r="P25" s="177">
        <v>290</v>
      </c>
      <c r="Q25" s="303">
        <v>8</v>
      </c>
      <c r="R25" s="177">
        <f t="shared" si="4"/>
        <v>3210</v>
      </c>
      <c r="S25" s="177">
        <f t="shared" si="5"/>
        <v>6130</v>
      </c>
      <c r="T25" s="178">
        <f t="shared" si="6"/>
        <v>9050</v>
      </c>
      <c r="U25" s="77"/>
      <c r="V25" s="77"/>
      <c r="W25" s="77"/>
    </row>
    <row r="26" spans="2:23" s="76" customFormat="1" ht="20.100000000000001" customHeight="1">
      <c r="B26" s="341" t="str">
        <f t="shared" si="8"/>
        <v>대각재-B1712</v>
      </c>
      <c r="C26" s="217"/>
      <c r="D26" s="234">
        <v>5</v>
      </c>
      <c r="E26" s="218">
        <f t="shared" si="0"/>
        <v>0</v>
      </c>
      <c r="F26" s="219">
        <f t="shared" si="1"/>
        <v>250</v>
      </c>
      <c r="G26" s="220">
        <f t="shared" si="1"/>
        <v>7</v>
      </c>
      <c r="H26" s="221">
        <f t="shared" si="2"/>
        <v>0</v>
      </c>
      <c r="I26" s="221">
        <f t="shared" si="3"/>
        <v>0</v>
      </c>
      <c r="J26" s="222">
        <f t="shared" si="7"/>
        <v>8700</v>
      </c>
      <c r="K26" s="342"/>
      <c r="L26" s="113"/>
      <c r="M26" s="113"/>
      <c r="N26" s="301" t="s">
        <v>254</v>
      </c>
      <c r="O26" s="177">
        <v>8700</v>
      </c>
      <c r="P26" s="177">
        <v>250</v>
      </c>
      <c r="Q26" s="303">
        <v>7</v>
      </c>
      <c r="R26" s="177">
        <f t="shared" si="4"/>
        <v>2805</v>
      </c>
      <c r="S26" s="177">
        <f t="shared" si="5"/>
        <v>5360</v>
      </c>
      <c r="T26" s="178">
        <f t="shared" si="6"/>
        <v>7915</v>
      </c>
      <c r="U26" s="77"/>
      <c r="V26" s="77"/>
      <c r="W26" s="77"/>
    </row>
    <row r="27" spans="2:23" s="76" customFormat="1" ht="20.100000000000001" customHeight="1">
      <c r="B27" s="341" t="str">
        <f t="shared" si="8"/>
        <v>대각재-B1709</v>
      </c>
      <c r="C27" s="217"/>
      <c r="D27" s="234">
        <v>4.7</v>
      </c>
      <c r="E27" s="218">
        <f t="shared" si="0"/>
        <v>0</v>
      </c>
      <c r="F27" s="219">
        <f>P28</f>
        <v>180</v>
      </c>
      <c r="G27" s="220">
        <f t="shared" si="1"/>
        <v>6</v>
      </c>
      <c r="H27" s="221">
        <f t="shared" si="2"/>
        <v>0</v>
      </c>
      <c r="I27" s="221">
        <f t="shared" si="3"/>
        <v>0</v>
      </c>
      <c r="J27" s="222">
        <f>O28</f>
        <v>10200</v>
      </c>
      <c r="K27" s="342"/>
      <c r="L27" s="113"/>
      <c r="M27" s="113"/>
      <c r="N27" s="301" t="s">
        <v>255</v>
      </c>
      <c r="O27" s="177">
        <v>8200</v>
      </c>
      <c r="P27" s="177">
        <v>220</v>
      </c>
      <c r="Q27" s="303">
        <v>6</v>
      </c>
      <c r="R27" s="177">
        <f t="shared" si="4"/>
        <v>2410</v>
      </c>
      <c r="S27" s="177">
        <f t="shared" si="5"/>
        <v>4600</v>
      </c>
      <c r="T27" s="178">
        <f t="shared" si="6"/>
        <v>6790</v>
      </c>
      <c r="U27" s="77"/>
      <c r="V27" s="77"/>
      <c r="W27" s="77"/>
    </row>
    <row r="28" spans="2:23" s="76" customFormat="1" ht="20.100000000000001" customHeight="1">
      <c r="B28" s="341" t="str">
        <f t="shared" si="8"/>
        <v>가새 42*2200</v>
      </c>
      <c r="C28" s="217"/>
      <c r="D28" s="234">
        <v>6</v>
      </c>
      <c r="E28" s="218">
        <f t="shared" si="0"/>
        <v>0</v>
      </c>
      <c r="F28" s="219">
        <f t="shared" ref="F28:G35" si="19">P28</f>
        <v>180</v>
      </c>
      <c r="G28" s="220">
        <f t="shared" si="19"/>
        <v>5</v>
      </c>
      <c r="H28" s="221">
        <f t="shared" si="2"/>
        <v>0</v>
      </c>
      <c r="I28" s="221">
        <f t="shared" si="3"/>
        <v>0</v>
      </c>
      <c r="J28" s="222">
        <f>O29</f>
        <v>8200</v>
      </c>
      <c r="K28" s="342"/>
      <c r="L28" s="113"/>
      <c r="M28" s="113"/>
      <c r="N28" s="301" t="s">
        <v>189</v>
      </c>
      <c r="O28" s="177">
        <v>10200</v>
      </c>
      <c r="P28" s="177">
        <v>180</v>
      </c>
      <c r="Q28" s="303">
        <v>5</v>
      </c>
      <c r="R28" s="177">
        <f t="shared" si="4"/>
        <v>2005</v>
      </c>
      <c r="S28" s="177">
        <f t="shared" si="5"/>
        <v>3830</v>
      </c>
      <c r="T28" s="178">
        <f t="shared" si="6"/>
        <v>5655</v>
      </c>
      <c r="U28" s="77"/>
      <c r="V28" s="77"/>
      <c r="W28" s="77"/>
    </row>
    <row r="29" spans="2:23" s="76" customFormat="1" ht="20.100000000000001" customHeight="1" thickBot="1">
      <c r="B29" s="343" t="str">
        <f t="shared" si="8"/>
        <v>가새 42*1800</v>
      </c>
      <c r="C29" s="225"/>
      <c r="D29" s="246">
        <v>5.6</v>
      </c>
      <c r="E29" s="226">
        <f t="shared" si="0"/>
        <v>0</v>
      </c>
      <c r="F29" s="227">
        <f t="shared" si="19"/>
        <v>160</v>
      </c>
      <c r="G29" s="228">
        <f t="shared" si="19"/>
        <v>4</v>
      </c>
      <c r="H29" s="229">
        <f t="shared" si="2"/>
        <v>0</v>
      </c>
      <c r="I29" s="229">
        <f t="shared" si="3"/>
        <v>0</v>
      </c>
      <c r="J29" s="230">
        <f t="shared" ref="J29:J35" si="20">O29</f>
        <v>8200</v>
      </c>
      <c r="K29" s="344"/>
      <c r="L29" s="113"/>
      <c r="M29" s="113"/>
      <c r="N29" s="301" t="s">
        <v>190</v>
      </c>
      <c r="O29" s="177">
        <v>8200</v>
      </c>
      <c r="P29" s="177">
        <v>160</v>
      </c>
      <c r="Q29" s="303">
        <v>4</v>
      </c>
      <c r="R29" s="177">
        <f t="shared" si="4"/>
        <v>1620</v>
      </c>
      <c r="S29" s="177">
        <f t="shared" si="5"/>
        <v>3080</v>
      </c>
      <c r="T29" s="178">
        <f t="shared" si="6"/>
        <v>4540</v>
      </c>
      <c r="U29" s="77"/>
      <c r="V29" s="77"/>
      <c r="W29" s="77"/>
    </row>
    <row r="30" spans="2:23" s="76" customFormat="1" ht="20.100000000000001" customHeight="1" thickTop="1">
      <c r="B30" s="264" t="str">
        <f t="shared" si="8"/>
        <v>각관 125*75*3.0m</v>
      </c>
      <c r="C30" s="265"/>
      <c r="D30" s="266">
        <v>26.01</v>
      </c>
      <c r="E30" s="267">
        <f t="shared" si="0"/>
        <v>0</v>
      </c>
      <c r="F30" s="268">
        <f t="shared" si="19"/>
        <v>1100</v>
      </c>
      <c r="G30" s="269">
        <f t="shared" si="19"/>
        <v>30</v>
      </c>
      <c r="H30" s="270">
        <f t="shared" si="2"/>
        <v>0</v>
      </c>
      <c r="I30" s="270">
        <f t="shared" si="3"/>
        <v>0</v>
      </c>
      <c r="J30" s="271">
        <f t="shared" si="20"/>
        <v>28500</v>
      </c>
      <c r="K30" s="272"/>
      <c r="L30" s="113"/>
      <c r="M30" s="113"/>
      <c r="N30" s="301" t="s">
        <v>192</v>
      </c>
      <c r="O30" s="177">
        <v>28500</v>
      </c>
      <c r="P30" s="177">
        <v>1100</v>
      </c>
      <c r="Q30" s="303">
        <v>30</v>
      </c>
      <c r="R30" s="177">
        <f t="shared" si="4"/>
        <v>12050</v>
      </c>
      <c r="S30" s="177">
        <f t="shared" si="5"/>
        <v>23000</v>
      </c>
      <c r="T30" s="178">
        <f t="shared" si="6"/>
        <v>33950</v>
      </c>
      <c r="U30" s="77"/>
      <c r="V30" s="77"/>
      <c r="W30" s="77"/>
    </row>
    <row r="31" spans="2:23" s="76" customFormat="1" ht="20.100000000000001" customHeight="1">
      <c r="B31" s="264" t="str">
        <f t="shared" si="8"/>
        <v>각관 125*75*2.5m</v>
      </c>
      <c r="C31" s="217"/>
      <c r="D31" s="234">
        <v>21.67</v>
      </c>
      <c r="E31" s="218">
        <f t="shared" si="0"/>
        <v>0</v>
      </c>
      <c r="F31" s="219">
        <f t="shared" si="19"/>
        <v>900</v>
      </c>
      <c r="G31" s="220">
        <f t="shared" si="19"/>
        <v>26</v>
      </c>
      <c r="H31" s="221">
        <f t="shared" si="2"/>
        <v>0</v>
      </c>
      <c r="I31" s="221">
        <f t="shared" si="3"/>
        <v>0</v>
      </c>
      <c r="J31" s="222">
        <f t="shared" si="20"/>
        <v>23750</v>
      </c>
      <c r="K31" s="223"/>
      <c r="L31" s="113"/>
      <c r="M31" s="113"/>
      <c r="N31" s="301" t="s">
        <v>193</v>
      </c>
      <c r="O31" s="177">
        <v>23750</v>
      </c>
      <c r="P31" s="177">
        <v>900</v>
      </c>
      <c r="Q31" s="303">
        <v>26</v>
      </c>
      <c r="R31" s="177">
        <f t="shared" si="4"/>
        <v>10390</v>
      </c>
      <c r="S31" s="177">
        <f t="shared" si="5"/>
        <v>19880</v>
      </c>
      <c r="T31" s="178">
        <f t="shared" si="6"/>
        <v>29370</v>
      </c>
      <c r="U31" s="77"/>
      <c r="V31" s="77"/>
      <c r="W31" s="77"/>
    </row>
    <row r="32" spans="2:23" s="76" customFormat="1" ht="20.100000000000001" customHeight="1">
      <c r="B32" s="264" t="str">
        <f t="shared" si="8"/>
        <v>각관 125*75*2.0m</v>
      </c>
      <c r="C32" s="217"/>
      <c r="D32" s="234">
        <v>17.34</v>
      </c>
      <c r="E32" s="218">
        <f t="shared" si="0"/>
        <v>0</v>
      </c>
      <c r="F32" s="219">
        <f t="shared" si="19"/>
        <v>700</v>
      </c>
      <c r="G32" s="220">
        <f t="shared" si="19"/>
        <v>23</v>
      </c>
      <c r="H32" s="221">
        <f t="shared" si="2"/>
        <v>0</v>
      </c>
      <c r="I32" s="221">
        <f t="shared" si="3"/>
        <v>0</v>
      </c>
      <c r="J32" s="222">
        <f t="shared" si="20"/>
        <v>19000</v>
      </c>
      <c r="K32" s="223"/>
      <c r="L32" s="113"/>
      <c r="M32" s="113"/>
      <c r="N32" s="301" t="s">
        <v>194</v>
      </c>
      <c r="O32" s="177">
        <v>19000</v>
      </c>
      <c r="P32" s="177">
        <v>700</v>
      </c>
      <c r="Q32" s="303">
        <v>23</v>
      </c>
      <c r="R32" s="177">
        <f t="shared" si="4"/>
        <v>9095</v>
      </c>
      <c r="S32" s="177">
        <f t="shared" si="5"/>
        <v>17490</v>
      </c>
      <c r="T32" s="178">
        <f t="shared" si="6"/>
        <v>25885</v>
      </c>
      <c r="U32" s="77"/>
      <c r="V32" s="77"/>
      <c r="W32" s="77"/>
    </row>
    <row r="33" spans="2:23" s="76" customFormat="1" ht="20.100000000000001" customHeight="1">
      <c r="B33" s="264" t="str">
        <f t="shared" si="8"/>
        <v>각관 125*75*1.5m</v>
      </c>
      <c r="C33" s="217"/>
      <c r="D33" s="234">
        <v>13</v>
      </c>
      <c r="E33" s="218">
        <f t="shared" si="0"/>
        <v>0</v>
      </c>
      <c r="F33" s="219">
        <f t="shared" si="19"/>
        <v>550</v>
      </c>
      <c r="G33" s="220">
        <f t="shared" si="19"/>
        <v>17</v>
      </c>
      <c r="H33" s="221">
        <f t="shared" si="2"/>
        <v>0</v>
      </c>
      <c r="I33" s="221">
        <f t="shared" si="3"/>
        <v>0</v>
      </c>
      <c r="J33" s="222">
        <f t="shared" si="20"/>
        <v>14250</v>
      </c>
      <c r="K33" s="223"/>
      <c r="L33" s="113"/>
      <c r="M33" s="113"/>
      <c r="N33" s="301" t="s">
        <v>195</v>
      </c>
      <c r="O33" s="177">
        <v>14250</v>
      </c>
      <c r="P33" s="177">
        <v>550</v>
      </c>
      <c r="Q33" s="303">
        <v>17</v>
      </c>
      <c r="R33" s="177">
        <f t="shared" si="4"/>
        <v>6755</v>
      </c>
      <c r="S33" s="177">
        <f t="shared" si="5"/>
        <v>12960</v>
      </c>
      <c r="T33" s="178">
        <f t="shared" si="6"/>
        <v>19165</v>
      </c>
      <c r="U33" s="77"/>
      <c r="V33" s="77"/>
      <c r="W33" s="77"/>
    </row>
    <row r="34" spans="2:23" s="76" customFormat="1" ht="20.100000000000001" customHeight="1">
      <c r="B34" s="264" t="str">
        <f t="shared" si="8"/>
        <v>각관 125*75*1.2m</v>
      </c>
      <c r="C34" s="217"/>
      <c r="D34" s="234">
        <v>10.4</v>
      </c>
      <c r="E34" s="218">
        <f t="shared" si="0"/>
        <v>0</v>
      </c>
      <c r="F34" s="219">
        <f t="shared" si="19"/>
        <v>400</v>
      </c>
      <c r="G34" s="220">
        <f t="shared" si="19"/>
        <v>14</v>
      </c>
      <c r="H34" s="221">
        <f t="shared" si="2"/>
        <v>0</v>
      </c>
      <c r="I34" s="221">
        <f t="shared" si="3"/>
        <v>0</v>
      </c>
      <c r="J34" s="222">
        <f t="shared" si="20"/>
        <v>13200</v>
      </c>
      <c r="K34" s="223"/>
      <c r="L34" s="113"/>
      <c r="M34" s="113"/>
      <c r="N34" s="301" t="s">
        <v>196</v>
      </c>
      <c r="O34" s="177">
        <v>13200</v>
      </c>
      <c r="P34" s="177">
        <v>400</v>
      </c>
      <c r="Q34" s="303">
        <v>14</v>
      </c>
      <c r="R34" s="177">
        <f t="shared" si="4"/>
        <v>5510</v>
      </c>
      <c r="S34" s="177">
        <f t="shared" si="5"/>
        <v>10620</v>
      </c>
      <c r="T34" s="178">
        <f t="shared" si="6"/>
        <v>15730</v>
      </c>
      <c r="U34" s="77"/>
      <c r="V34" s="77"/>
      <c r="W34" s="77"/>
    </row>
    <row r="35" spans="2:23" s="76" customFormat="1" ht="20.100000000000001" customHeight="1" thickBot="1">
      <c r="B35" s="264" t="str">
        <f t="shared" si="8"/>
        <v>각관 125*75*1.0m</v>
      </c>
      <c r="C35" s="225"/>
      <c r="D35" s="246">
        <v>8.67</v>
      </c>
      <c r="E35" s="226">
        <f t="shared" si="0"/>
        <v>0</v>
      </c>
      <c r="F35" s="227">
        <f t="shared" si="19"/>
        <v>350</v>
      </c>
      <c r="G35" s="228">
        <f t="shared" si="19"/>
        <v>13</v>
      </c>
      <c r="H35" s="229">
        <f t="shared" si="2"/>
        <v>0</v>
      </c>
      <c r="I35" s="229">
        <f t="shared" si="3"/>
        <v>0</v>
      </c>
      <c r="J35" s="230">
        <f t="shared" si="20"/>
        <v>11000</v>
      </c>
      <c r="K35" s="231"/>
      <c r="L35" s="113"/>
      <c r="M35" s="113"/>
      <c r="N35" s="302" t="s">
        <v>197</v>
      </c>
      <c r="O35" s="190">
        <v>11000</v>
      </c>
      <c r="P35" s="190">
        <v>350</v>
      </c>
      <c r="Q35" s="304">
        <v>13</v>
      </c>
      <c r="R35" s="190">
        <f t="shared" si="4"/>
        <v>5095</v>
      </c>
      <c r="S35" s="190">
        <f t="shared" si="5"/>
        <v>9840</v>
      </c>
      <c r="T35" s="191">
        <f t="shared" si="6"/>
        <v>14585</v>
      </c>
      <c r="U35" s="77"/>
      <c r="V35" s="77"/>
      <c r="W35" s="77"/>
    </row>
    <row r="36" spans="2:23" ht="20.100000000000001" customHeight="1" thickTop="1">
      <c r="B36" s="148" t="s">
        <v>147</v>
      </c>
      <c r="C36" s="149"/>
      <c r="D36" s="149"/>
      <c r="E36" s="154">
        <f>SUM(E11:E35)</f>
        <v>0</v>
      </c>
      <c r="F36" s="150"/>
      <c r="G36" s="150"/>
      <c r="H36" s="151">
        <f>SUM(H11:H35)</f>
        <v>0</v>
      </c>
      <c r="I36" s="152">
        <f>SUM(I11:I35)</f>
        <v>0</v>
      </c>
      <c r="J36" s="150"/>
      <c r="K36" s="153"/>
      <c r="L36" s="115"/>
      <c r="M36" s="115"/>
    </row>
    <row r="37" spans="2:23" ht="20.100000000000001" customHeight="1">
      <c r="B37" s="85" t="s">
        <v>141</v>
      </c>
      <c r="C37" s="719"/>
      <c r="D37" s="719"/>
      <c r="E37" s="719"/>
      <c r="F37" s="719"/>
      <c r="G37" s="719"/>
      <c r="H37" s="719"/>
      <c r="I37" s="131"/>
      <c r="J37" s="131"/>
      <c r="K37" s="136"/>
    </row>
    <row r="38" spans="2:23" ht="20.100000000000001" customHeight="1">
      <c r="B38" s="91" t="s">
        <v>142</v>
      </c>
      <c r="C38" s="134"/>
      <c r="D38" s="134"/>
      <c r="E38" s="134"/>
      <c r="F38" s="134"/>
      <c r="G38" s="134"/>
      <c r="H38" s="134"/>
      <c r="K38" s="116"/>
      <c r="P38" s="203"/>
    </row>
    <row r="39" spans="2:23" ht="20.100000000000001" customHeight="1" thickBot="1">
      <c r="B39" s="91" t="s">
        <v>143</v>
      </c>
      <c r="C39" s="134"/>
      <c r="D39" s="134"/>
      <c r="E39" s="134"/>
      <c r="F39" s="134"/>
      <c r="G39" s="134"/>
      <c r="H39" s="134"/>
      <c r="K39" s="116"/>
    </row>
    <row r="40" spans="2:23" ht="20.100000000000001" customHeight="1" thickBot="1">
      <c r="B40" s="91" t="s">
        <v>165</v>
      </c>
      <c r="C40" s="134"/>
      <c r="D40" s="132"/>
      <c r="E40" s="134"/>
      <c r="F40" s="135">
        <f>H36+(I36*90)</f>
        <v>0</v>
      </c>
      <c r="G40" s="133" t="s">
        <v>166</v>
      </c>
      <c r="H40" s="134" t="s">
        <v>167</v>
      </c>
      <c r="I40" s="134" t="s">
        <v>168</v>
      </c>
      <c r="J40" s="135">
        <f>K36</f>
        <v>0</v>
      </c>
      <c r="K40" s="133" t="s">
        <v>169</v>
      </c>
      <c r="P40" s="204"/>
    </row>
    <row r="41" spans="2:23" ht="20.100000000000001" customHeight="1">
      <c r="B41" s="91" t="s">
        <v>198</v>
      </c>
      <c r="C41" s="82"/>
      <c r="D41" s="83"/>
      <c r="E41" s="83"/>
      <c r="F41" s="117"/>
      <c r="G41" s="118"/>
      <c r="H41" s="118"/>
      <c r="K41" s="116"/>
    </row>
    <row r="42" spans="2:23" ht="20.100000000000001" customHeight="1">
      <c r="B42" s="91" t="s">
        <v>199</v>
      </c>
      <c r="C42" s="82"/>
      <c r="D42" s="83"/>
      <c r="E42" s="83"/>
      <c r="F42" s="117"/>
      <c r="G42" s="118"/>
      <c r="H42" s="118"/>
      <c r="K42" s="116"/>
    </row>
    <row r="43" spans="2:23" ht="20.100000000000001" customHeight="1" thickBot="1">
      <c r="B43" s="137" t="s">
        <v>200</v>
      </c>
      <c r="C43" s="138"/>
      <c r="D43" s="139"/>
      <c r="E43" s="139"/>
      <c r="F43" s="139"/>
      <c r="G43" s="140"/>
      <c r="H43" s="141"/>
      <c r="I43" s="142"/>
      <c r="J43" s="142"/>
      <c r="K43" s="119"/>
    </row>
    <row r="44" spans="2:23" ht="24.75" thickBot="1">
      <c r="B44" s="720" t="s">
        <v>6</v>
      </c>
      <c r="C44" s="721"/>
      <c r="D44" s="721"/>
      <c r="E44" s="721"/>
      <c r="F44" s="721"/>
      <c r="G44" s="721"/>
      <c r="H44" s="721"/>
      <c r="I44" s="721"/>
      <c r="J44" s="721"/>
      <c r="K44" s="722"/>
    </row>
  </sheetData>
  <mergeCells count="19">
    <mergeCell ref="B1:K1"/>
    <mergeCell ref="H3:J3"/>
    <mergeCell ref="K3:K7"/>
    <mergeCell ref="C4:E4"/>
    <mergeCell ref="C5:E5"/>
    <mergeCell ref="H5:J5"/>
    <mergeCell ref="C6:E6"/>
    <mergeCell ref="H6:J6"/>
    <mergeCell ref="H7:J7"/>
    <mergeCell ref="J9:J10"/>
    <mergeCell ref="K9:K10"/>
    <mergeCell ref="C37:H37"/>
    <mergeCell ref="B44:K44"/>
    <mergeCell ref="B9:B10"/>
    <mergeCell ref="C9:C10"/>
    <mergeCell ref="D9:D10"/>
    <mergeCell ref="E9:E10"/>
    <mergeCell ref="F9:G9"/>
    <mergeCell ref="H9:I9"/>
  </mergeCells>
  <phoneticPr fontId="78" type="noConversion"/>
  <printOptions horizontalCentered="1"/>
  <pageMargins left="0" right="0" top="0.39370078740157483" bottom="0" header="0.23622047244094491" footer="0.19685039370078741"/>
  <pageSetup paperSize="9" scale="7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W43"/>
  <sheetViews>
    <sheetView view="pageBreakPreview" zoomScaleNormal="100" zoomScaleSheetLayoutView="100" workbookViewId="0">
      <selection activeCell="C13" sqref="C13"/>
    </sheetView>
  </sheetViews>
  <sheetFormatPr defaultColWidth="9" defaultRowHeight="14.25"/>
  <cols>
    <col min="1" max="1" width="9" style="72"/>
    <col min="2" max="2" width="19.75" style="72" customWidth="1"/>
    <col min="3" max="3" width="7.25" style="72" bestFit="1" customWidth="1"/>
    <col min="4" max="4" width="9.75" style="72" bestFit="1" customWidth="1"/>
    <col min="5" max="5" width="11.75" style="72" bestFit="1" customWidth="1"/>
    <col min="6" max="6" width="14.125" style="72" customWidth="1"/>
    <col min="7" max="7" width="12.625" style="72" customWidth="1"/>
    <col min="8" max="8" width="14.875" style="72" customWidth="1"/>
    <col min="9" max="9" width="12.75" style="73" customWidth="1"/>
    <col min="10" max="13" width="12.25" style="73" customWidth="1"/>
    <col min="14" max="14" width="15.375" style="73" customWidth="1"/>
    <col min="15" max="15" width="12.625" style="73" bestFit="1" customWidth="1"/>
    <col min="16" max="19" width="12.625" style="73" customWidth="1"/>
    <col min="20" max="20" width="12.875" style="73" bestFit="1" customWidth="1"/>
    <col min="21" max="22" width="14.625" style="73" bestFit="1" customWidth="1"/>
    <col min="23" max="23" width="9" style="73"/>
    <col min="24" max="16384" width="9" style="72"/>
  </cols>
  <sheetData>
    <row r="1" spans="2:23" ht="42" customHeight="1">
      <c r="B1" s="677" t="s">
        <v>148</v>
      </c>
      <c r="C1" s="677"/>
      <c r="D1" s="677"/>
      <c r="E1" s="677"/>
      <c r="F1" s="677"/>
      <c r="G1" s="677"/>
      <c r="H1" s="677"/>
      <c r="I1" s="677"/>
      <c r="J1" s="677"/>
      <c r="K1" s="677"/>
    </row>
    <row r="2" spans="2:23" ht="42.75" customHeight="1">
      <c r="B2" s="84"/>
      <c r="C2" s="84"/>
      <c r="D2" s="84"/>
      <c r="E2" s="84"/>
      <c r="F2" s="73"/>
      <c r="G2" s="73"/>
      <c r="H2" s="73"/>
    </row>
    <row r="3" spans="2:23" ht="27.75" thickBot="1">
      <c r="B3" s="84"/>
      <c r="C3" s="84"/>
      <c r="D3" s="84"/>
      <c r="E3" s="84"/>
      <c r="F3" s="84"/>
      <c r="G3" s="105" t="s">
        <v>2</v>
      </c>
      <c r="H3" s="678" t="s">
        <v>3</v>
      </c>
      <c r="I3" s="679"/>
      <c r="J3" s="680"/>
      <c r="K3" s="568"/>
    </row>
    <row r="4" spans="2:23" ht="20.100000000000001" customHeight="1">
      <c r="B4" s="143" t="s">
        <v>1</v>
      </c>
      <c r="C4" s="681"/>
      <c r="D4" s="681"/>
      <c r="E4" s="682"/>
      <c r="F4" s="84"/>
      <c r="G4" s="106" t="s">
        <v>5</v>
      </c>
      <c r="H4" s="102" t="s">
        <v>6</v>
      </c>
      <c r="I4" s="106" t="s">
        <v>7</v>
      </c>
      <c r="J4" s="101" t="s">
        <v>8</v>
      </c>
      <c r="K4" s="569"/>
    </row>
    <row r="5" spans="2:23" ht="20.100000000000001" customHeight="1">
      <c r="B5" s="144" t="s">
        <v>4</v>
      </c>
      <c r="C5" s="591"/>
      <c r="D5" s="592"/>
      <c r="E5" s="683"/>
      <c r="F5" s="84"/>
      <c r="G5" s="106" t="s">
        <v>11</v>
      </c>
      <c r="H5" s="705" t="s">
        <v>12</v>
      </c>
      <c r="I5" s="706"/>
      <c r="J5" s="707"/>
      <c r="K5" s="569"/>
    </row>
    <row r="6" spans="2:23" ht="20.100000000000001" customHeight="1" thickBot="1">
      <c r="B6" s="145" t="s">
        <v>92</v>
      </c>
      <c r="C6" s="708"/>
      <c r="D6" s="685"/>
      <c r="E6" s="686"/>
      <c r="F6" s="84"/>
      <c r="G6" s="147" t="s">
        <v>13</v>
      </c>
      <c r="H6" s="709" t="s">
        <v>14</v>
      </c>
      <c r="I6" s="710"/>
      <c r="J6" s="711"/>
      <c r="K6" s="569"/>
    </row>
    <row r="7" spans="2:23" ht="20.100000000000001" customHeight="1">
      <c r="B7" s="84"/>
      <c r="C7" s="84"/>
      <c r="D7" s="84"/>
      <c r="E7" s="84"/>
      <c r="F7" s="73"/>
      <c r="G7" s="146" t="s">
        <v>93</v>
      </c>
      <c r="H7" s="712" t="s">
        <v>256</v>
      </c>
      <c r="I7" s="713"/>
      <c r="J7" s="714"/>
      <c r="K7" s="570"/>
      <c r="L7" s="112"/>
      <c r="M7" s="112"/>
    </row>
    <row r="8" spans="2:23" ht="20.100000000000001" customHeight="1" thickBot="1">
      <c r="B8" s="75"/>
      <c r="C8" s="75"/>
      <c r="D8" s="75"/>
      <c r="E8" s="75"/>
      <c r="F8" s="75"/>
      <c r="G8" s="75"/>
      <c r="H8" s="75"/>
    </row>
    <row r="9" spans="2:23" ht="20.100000000000001" customHeight="1" thickBot="1">
      <c r="B9" s="723" t="s">
        <v>94</v>
      </c>
      <c r="C9" s="715" t="s">
        <v>95</v>
      </c>
      <c r="D9" s="715" t="s">
        <v>96</v>
      </c>
      <c r="E9" s="715" t="s">
        <v>150</v>
      </c>
      <c r="F9" s="725" t="s">
        <v>151</v>
      </c>
      <c r="G9" s="726"/>
      <c r="H9" s="725" t="s">
        <v>152</v>
      </c>
      <c r="I9" s="726"/>
      <c r="J9" s="715" t="s">
        <v>98</v>
      </c>
      <c r="K9" s="717" t="s">
        <v>153</v>
      </c>
      <c r="L9" s="74"/>
      <c r="M9" s="74"/>
    </row>
    <row r="10" spans="2:23" ht="20.100000000000001" customHeight="1" thickBot="1">
      <c r="B10" s="724"/>
      <c r="C10" s="716"/>
      <c r="D10" s="716"/>
      <c r="E10" s="716"/>
      <c r="F10" s="129" t="s">
        <v>154</v>
      </c>
      <c r="G10" s="129" t="s">
        <v>155</v>
      </c>
      <c r="H10" s="129" t="s">
        <v>156</v>
      </c>
      <c r="I10" s="129" t="s">
        <v>157</v>
      </c>
      <c r="J10" s="716"/>
      <c r="K10" s="718"/>
      <c r="L10" s="74"/>
      <c r="M10" s="74"/>
      <c r="N10" s="86" t="s">
        <v>158</v>
      </c>
      <c r="O10" s="86" t="s">
        <v>159</v>
      </c>
      <c r="P10" s="87" t="s">
        <v>160</v>
      </c>
      <c r="Q10" s="87" t="s">
        <v>161</v>
      </c>
      <c r="R10" s="87" t="s">
        <v>162</v>
      </c>
      <c r="S10" s="174" t="s">
        <v>163</v>
      </c>
      <c r="T10" s="87" t="s">
        <v>164</v>
      </c>
    </row>
    <row r="11" spans="2:23" s="76" customFormat="1" ht="20.100000000000001" customHeight="1">
      <c r="B11" s="205" t="s">
        <v>171</v>
      </c>
      <c r="C11" s="163"/>
      <c r="D11" s="244">
        <v>4.2</v>
      </c>
      <c r="E11" s="164">
        <f t="shared" ref="E11:E34" si="0">D11*C11</f>
        <v>0</v>
      </c>
      <c r="F11" s="165">
        <f t="shared" ref="F11:F25" si="1">P11</f>
        <v>300</v>
      </c>
      <c r="G11" s="166">
        <f t="shared" ref="G11:G25" si="2">Q11</f>
        <v>8</v>
      </c>
      <c r="H11" s="167">
        <f>F11*C11</f>
        <v>0</v>
      </c>
      <c r="I11" s="167">
        <f>G11*C11</f>
        <v>0</v>
      </c>
      <c r="J11" s="168">
        <v>7390</v>
      </c>
      <c r="K11" s="169"/>
      <c r="L11" s="113"/>
      <c r="M11" s="113"/>
      <c r="N11" s="300" t="s">
        <v>171</v>
      </c>
      <c r="O11" s="182">
        <v>7390</v>
      </c>
      <c r="P11" s="182">
        <v>300</v>
      </c>
      <c r="Q11" s="303">
        <v>8</v>
      </c>
      <c r="R11" s="182">
        <f>P11+(Q11*365)</f>
        <v>3220</v>
      </c>
      <c r="S11" s="182">
        <f>P11+(Q11*730)</f>
        <v>6140</v>
      </c>
      <c r="T11" s="183">
        <f>P11+(Q11*1095)</f>
        <v>9060</v>
      </c>
      <c r="U11" s="77"/>
      <c r="V11" s="77"/>
      <c r="W11" s="77"/>
    </row>
    <row r="12" spans="2:23" s="76" customFormat="1" ht="20.100000000000001" customHeight="1" thickBot="1">
      <c r="B12" s="207" t="s">
        <v>172</v>
      </c>
      <c r="C12" s="158"/>
      <c r="D12" s="232">
        <v>5.5</v>
      </c>
      <c r="E12" s="159">
        <f t="shared" si="0"/>
        <v>0</v>
      </c>
      <c r="F12" s="120">
        <f t="shared" si="1"/>
        <v>360</v>
      </c>
      <c r="G12" s="160">
        <f t="shared" si="2"/>
        <v>9</v>
      </c>
      <c r="H12" s="170">
        <f t="shared" ref="H12:H34" si="3">F12*C12</f>
        <v>0</v>
      </c>
      <c r="I12" s="170">
        <f t="shared" ref="I12:I34" si="4">G12*C12</f>
        <v>0</v>
      </c>
      <c r="J12" s="161">
        <v>7500</v>
      </c>
      <c r="K12" s="162"/>
      <c r="L12" s="113"/>
      <c r="M12" s="113"/>
      <c r="N12" s="301" t="s">
        <v>172</v>
      </c>
      <c r="O12" s="177">
        <v>8000</v>
      </c>
      <c r="P12" s="177">
        <v>360</v>
      </c>
      <c r="Q12" s="303">
        <v>9</v>
      </c>
      <c r="R12" s="177">
        <f t="shared" ref="R12:R34" si="5">P12+(Q12*365)</f>
        <v>3645</v>
      </c>
      <c r="S12" s="177">
        <f t="shared" ref="S12:S34" si="6">P12+(Q12*730)</f>
        <v>6930</v>
      </c>
      <c r="T12" s="178">
        <f t="shared" ref="T12:T34" si="7">P12+(Q12*1095)</f>
        <v>10215</v>
      </c>
      <c r="U12" s="77"/>
      <c r="V12" s="77"/>
      <c r="W12" s="77"/>
    </row>
    <row r="13" spans="2:23" s="76" customFormat="1" ht="20.100000000000001" customHeight="1" thickTop="1">
      <c r="B13" s="208" t="str">
        <f>N13</f>
        <v>P-17/1725</v>
      </c>
      <c r="C13" s="209"/>
      <c r="D13" s="233">
        <v>8</v>
      </c>
      <c r="E13" s="210">
        <f t="shared" si="0"/>
        <v>0</v>
      </c>
      <c r="F13" s="211">
        <f t="shared" si="1"/>
        <v>100</v>
      </c>
      <c r="G13" s="212">
        <f t="shared" si="2"/>
        <v>5</v>
      </c>
      <c r="H13" s="213">
        <f t="shared" si="3"/>
        <v>0</v>
      </c>
      <c r="I13" s="213">
        <f t="shared" si="4"/>
        <v>0</v>
      </c>
      <c r="J13" s="214">
        <f t="shared" ref="J13:J25" si="8">O13</f>
        <v>11800</v>
      </c>
      <c r="K13" s="215"/>
      <c r="L13" s="113"/>
      <c r="M13" s="113"/>
      <c r="N13" s="301" t="s">
        <v>242</v>
      </c>
      <c r="O13" s="177">
        <v>11800</v>
      </c>
      <c r="P13" s="177">
        <v>100</v>
      </c>
      <c r="Q13" s="303">
        <v>5</v>
      </c>
      <c r="R13" s="177">
        <f t="shared" si="5"/>
        <v>1925</v>
      </c>
      <c r="S13" s="177">
        <f t="shared" si="6"/>
        <v>3750</v>
      </c>
      <c r="T13" s="178">
        <f t="shared" si="7"/>
        <v>5575</v>
      </c>
      <c r="U13" s="77"/>
      <c r="V13" s="77"/>
      <c r="W13" s="77"/>
    </row>
    <row r="14" spans="2:23" s="76" customFormat="1" ht="20.100000000000001" customHeight="1">
      <c r="B14" s="216" t="str">
        <f>N14</f>
        <v>P-12/1291</v>
      </c>
      <c r="C14" s="217"/>
      <c r="D14" s="234">
        <v>6.2</v>
      </c>
      <c r="E14" s="218">
        <f t="shared" si="0"/>
        <v>0</v>
      </c>
      <c r="F14" s="219">
        <f t="shared" si="1"/>
        <v>500</v>
      </c>
      <c r="G14" s="220">
        <f t="shared" si="2"/>
        <v>9</v>
      </c>
      <c r="H14" s="221">
        <f t="shared" si="3"/>
        <v>0</v>
      </c>
      <c r="I14" s="221">
        <f t="shared" si="4"/>
        <v>0</v>
      </c>
      <c r="J14" s="222">
        <f t="shared" si="8"/>
        <v>10000</v>
      </c>
      <c r="K14" s="223"/>
      <c r="L14" s="113"/>
      <c r="M14" s="113"/>
      <c r="N14" s="301" t="s">
        <v>243</v>
      </c>
      <c r="O14" s="177">
        <v>10000</v>
      </c>
      <c r="P14" s="177">
        <v>500</v>
      </c>
      <c r="Q14" s="303">
        <v>9</v>
      </c>
      <c r="R14" s="177">
        <f t="shared" si="5"/>
        <v>3785</v>
      </c>
      <c r="S14" s="177">
        <f t="shared" si="6"/>
        <v>7070</v>
      </c>
      <c r="T14" s="178">
        <f t="shared" si="7"/>
        <v>10355</v>
      </c>
      <c r="U14" s="77"/>
      <c r="V14" s="77"/>
      <c r="W14" s="77"/>
    </row>
    <row r="15" spans="2:23" s="76" customFormat="1" ht="20.100000000000001" customHeight="1">
      <c r="B15" s="216" t="str">
        <f>N15</f>
        <v>P-08/863</v>
      </c>
      <c r="C15" s="217"/>
      <c r="D15" s="234">
        <v>4.5999999999999996</v>
      </c>
      <c r="E15" s="218">
        <f t="shared" si="0"/>
        <v>0</v>
      </c>
      <c r="F15" s="219">
        <f t="shared" si="1"/>
        <v>300</v>
      </c>
      <c r="G15" s="220">
        <f t="shared" si="2"/>
        <v>8</v>
      </c>
      <c r="H15" s="221">
        <f t="shared" si="3"/>
        <v>0</v>
      </c>
      <c r="I15" s="221">
        <f t="shared" si="4"/>
        <v>0</v>
      </c>
      <c r="J15" s="222">
        <f t="shared" si="8"/>
        <v>7100</v>
      </c>
      <c r="K15" s="223"/>
      <c r="L15" s="113"/>
      <c r="M15" s="113"/>
      <c r="N15" s="301" t="s">
        <v>244</v>
      </c>
      <c r="O15" s="177">
        <v>7100</v>
      </c>
      <c r="P15" s="177">
        <v>300</v>
      </c>
      <c r="Q15" s="303">
        <v>8</v>
      </c>
      <c r="R15" s="177">
        <f t="shared" si="5"/>
        <v>3220</v>
      </c>
      <c r="S15" s="177">
        <f t="shared" si="6"/>
        <v>6140</v>
      </c>
      <c r="T15" s="178">
        <f t="shared" si="7"/>
        <v>9060</v>
      </c>
      <c r="U15" s="77"/>
      <c r="V15" s="77"/>
      <c r="W15" s="77"/>
    </row>
    <row r="16" spans="2:23" s="76" customFormat="1" ht="20.100000000000001" customHeight="1">
      <c r="B16" s="216" t="str">
        <f t="shared" ref="B16:B33" si="9">N16</f>
        <v>P-04/432</v>
      </c>
      <c r="C16" s="217"/>
      <c r="D16" s="234">
        <v>3</v>
      </c>
      <c r="E16" s="218">
        <f t="shared" si="0"/>
        <v>0</v>
      </c>
      <c r="F16" s="219">
        <f t="shared" si="1"/>
        <v>200</v>
      </c>
      <c r="G16" s="220">
        <f t="shared" si="2"/>
        <v>7</v>
      </c>
      <c r="H16" s="221">
        <f t="shared" si="3"/>
        <v>0</v>
      </c>
      <c r="I16" s="221">
        <f t="shared" si="4"/>
        <v>0</v>
      </c>
      <c r="J16" s="222">
        <f t="shared" si="8"/>
        <v>5100</v>
      </c>
      <c r="K16" s="223"/>
      <c r="L16" s="113"/>
      <c r="M16" s="113"/>
      <c r="N16" s="301" t="s">
        <v>245</v>
      </c>
      <c r="O16" s="177">
        <v>5100</v>
      </c>
      <c r="P16" s="177">
        <v>200</v>
      </c>
      <c r="Q16" s="303">
        <v>7</v>
      </c>
      <c r="R16" s="177">
        <f t="shared" si="5"/>
        <v>2755</v>
      </c>
      <c r="S16" s="177">
        <f t="shared" si="6"/>
        <v>5310</v>
      </c>
      <c r="T16" s="178">
        <f t="shared" si="7"/>
        <v>7865</v>
      </c>
      <c r="U16" s="77"/>
      <c r="V16" s="77"/>
      <c r="W16" s="77"/>
    </row>
    <row r="17" spans="2:23" s="76" customFormat="1" ht="20.100000000000001" customHeight="1">
      <c r="B17" s="216" t="str">
        <f t="shared" si="9"/>
        <v>P-02-216</v>
      </c>
      <c r="C17" s="217"/>
      <c r="D17" s="234">
        <v>2.2000000000000002</v>
      </c>
      <c r="E17" s="218">
        <f t="shared" si="0"/>
        <v>0</v>
      </c>
      <c r="F17" s="219">
        <f t="shared" si="1"/>
        <v>170</v>
      </c>
      <c r="G17" s="220">
        <f t="shared" si="2"/>
        <v>6</v>
      </c>
      <c r="H17" s="221">
        <f t="shared" si="3"/>
        <v>0</v>
      </c>
      <c r="I17" s="221">
        <f t="shared" si="4"/>
        <v>0</v>
      </c>
      <c r="J17" s="222">
        <f t="shared" si="8"/>
        <v>4100</v>
      </c>
      <c r="K17" s="223"/>
      <c r="L17" s="113"/>
      <c r="M17" s="113"/>
      <c r="N17" s="301" t="s">
        <v>246</v>
      </c>
      <c r="O17" s="177">
        <v>4100</v>
      </c>
      <c r="P17" s="177">
        <v>170</v>
      </c>
      <c r="Q17" s="303">
        <v>6</v>
      </c>
      <c r="R17" s="177">
        <f t="shared" si="5"/>
        <v>2360</v>
      </c>
      <c r="S17" s="177">
        <f t="shared" si="6"/>
        <v>4550</v>
      </c>
      <c r="T17" s="178">
        <f t="shared" si="7"/>
        <v>6740</v>
      </c>
      <c r="U17" s="77"/>
      <c r="V17" s="77"/>
      <c r="W17" s="77"/>
    </row>
    <row r="18" spans="2:23" s="76" customFormat="1" ht="20.100000000000001" customHeight="1" thickBot="1">
      <c r="B18" s="224" t="str">
        <f t="shared" si="9"/>
        <v>소켓 120L</v>
      </c>
      <c r="C18" s="225"/>
      <c r="D18" s="246">
        <v>0.5</v>
      </c>
      <c r="E18" s="226">
        <f t="shared" si="0"/>
        <v>0</v>
      </c>
      <c r="F18" s="227">
        <f t="shared" si="1"/>
        <v>120</v>
      </c>
      <c r="G18" s="228">
        <f t="shared" si="2"/>
        <v>3</v>
      </c>
      <c r="H18" s="229">
        <f t="shared" si="3"/>
        <v>0</v>
      </c>
      <c r="I18" s="229">
        <f t="shared" si="4"/>
        <v>0</v>
      </c>
      <c r="J18" s="230">
        <f t="shared" si="8"/>
        <v>880</v>
      </c>
      <c r="K18" s="231"/>
      <c r="L18" s="113"/>
      <c r="M18" s="113"/>
      <c r="N18" s="301" t="s">
        <v>247</v>
      </c>
      <c r="O18" s="177">
        <v>880</v>
      </c>
      <c r="P18" s="177">
        <v>120</v>
      </c>
      <c r="Q18" s="303">
        <v>3</v>
      </c>
      <c r="R18" s="177">
        <f t="shared" si="5"/>
        <v>1215</v>
      </c>
      <c r="S18" s="177">
        <f t="shared" si="6"/>
        <v>2310</v>
      </c>
      <c r="T18" s="178">
        <f t="shared" si="7"/>
        <v>3405</v>
      </c>
      <c r="U18" s="77"/>
      <c r="V18" s="77"/>
      <c r="W18" s="77"/>
    </row>
    <row r="19" spans="2:23" s="76" customFormat="1" ht="20.100000000000001" customHeight="1" thickTop="1">
      <c r="B19" s="273" t="str">
        <f t="shared" si="9"/>
        <v>H-15/1463</v>
      </c>
      <c r="C19" s="274"/>
      <c r="D19" s="275">
        <v>4</v>
      </c>
      <c r="E19" s="276">
        <f t="shared" si="0"/>
        <v>0</v>
      </c>
      <c r="F19" s="277">
        <f t="shared" si="1"/>
        <v>200</v>
      </c>
      <c r="G19" s="278">
        <f t="shared" si="2"/>
        <v>13</v>
      </c>
      <c r="H19" s="279">
        <f t="shared" si="3"/>
        <v>0</v>
      </c>
      <c r="I19" s="279">
        <f t="shared" si="4"/>
        <v>0</v>
      </c>
      <c r="J19" s="280">
        <f t="shared" si="8"/>
        <v>6600</v>
      </c>
      <c r="K19" s="281"/>
      <c r="L19" s="113"/>
      <c r="M19" s="113"/>
      <c r="N19" s="301" t="s">
        <v>248</v>
      </c>
      <c r="O19" s="177">
        <v>6600</v>
      </c>
      <c r="P19" s="177">
        <v>200</v>
      </c>
      <c r="Q19" s="303">
        <v>13</v>
      </c>
      <c r="R19" s="177">
        <f t="shared" si="5"/>
        <v>4945</v>
      </c>
      <c r="S19" s="177">
        <f t="shared" si="6"/>
        <v>9690</v>
      </c>
      <c r="T19" s="178">
        <f t="shared" si="7"/>
        <v>14435</v>
      </c>
      <c r="U19" s="77"/>
      <c r="V19" s="77"/>
      <c r="W19" s="77"/>
    </row>
    <row r="20" spans="2:23" s="76" customFormat="1" ht="20.100000000000001" customHeight="1">
      <c r="B20" s="282" t="str">
        <f t="shared" si="9"/>
        <v>H-12/1158</v>
      </c>
      <c r="C20" s="283"/>
      <c r="D20" s="284">
        <v>3.3</v>
      </c>
      <c r="E20" s="285">
        <f t="shared" si="0"/>
        <v>0</v>
      </c>
      <c r="F20" s="286">
        <f t="shared" si="1"/>
        <v>330</v>
      </c>
      <c r="G20" s="287">
        <f t="shared" si="2"/>
        <v>7</v>
      </c>
      <c r="H20" s="288">
        <f t="shared" si="3"/>
        <v>0</v>
      </c>
      <c r="I20" s="288">
        <f t="shared" si="4"/>
        <v>0</v>
      </c>
      <c r="J20" s="289">
        <f t="shared" si="8"/>
        <v>5800</v>
      </c>
      <c r="K20" s="290"/>
      <c r="L20" s="113"/>
      <c r="M20" s="113"/>
      <c r="N20" s="301" t="s">
        <v>249</v>
      </c>
      <c r="O20" s="177">
        <v>5800</v>
      </c>
      <c r="P20" s="177">
        <v>330</v>
      </c>
      <c r="Q20" s="303">
        <v>7</v>
      </c>
      <c r="R20" s="177">
        <f t="shared" si="5"/>
        <v>2885</v>
      </c>
      <c r="S20" s="177">
        <f t="shared" si="6"/>
        <v>5440</v>
      </c>
      <c r="T20" s="178">
        <f t="shared" si="7"/>
        <v>7995</v>
      </c>
      <c r="U20" s="77"/>
      <c r="V20" s="77"/>
      <c r="W20" s="77"/>
    </row>
    <row r="21" spans="2:23" s="76" customFormat="1" ht="20.100000000000001" customHeight="1">
      <c r="B21" s="282" t="str">
        <f t="shared" si="9"/>
        <v>H-09/853</v>
      </c>
      <c r="C21" s="283"/>
      <c r="D21" s="284">
        <v>2.6</v>
      </c>
      <c r="E21" s="285">
        <f t="shared" si="0"/>
        <v>0</v>
      </c>
      <c r="F21" s="286">
        <f t="shared" si="1"/>
        <v>290</v>
      </c>
      <c r="G21" s="287">
        <f t="shared" si="2"/>
        <v>4</v>
      </c>
      <c r="H21" s="288">
        <f t="shared" si="3"/>
        <v>0</v>
      </c>
      <c r="I21" s="288">
        <f t="shared" si="4"/>
        <v>0</v>
      </c>
      <c r="J21" s="289">
        <f t="shared" si="8"/>
        <v>4800</v>
      </c>
      <c r="K21" s="290"/>
      <c r="L21" s="113"/>
      <c r="M21" s="113"/>
      <c r="N21" s="301" t="s">
        <v>250</v>
      </c>
      <c r="O21" s="177">
        <v>4800</v>
      </c>
      <c r="P21" s="177">
        <v>290</v>
      </c>
      <c r="Q21" s="303">
        <v>4</v>
      </c>
      <c r="R21" s="177">
        <f t="shared" si="5"/>
        <v>1750</v>
      </c>
      <c r="S21" s="177">
        <f t="shared" si="6"/>
        <v>3210</v>
      </c>
      <c r="T21" s="178">
        <f t="shared" si="7"/>
        <v>4670</v>
      </c>
      <c r="U21" s="77"/>
      <c r="V21" s="77"/>
      <c r="W21" s="77"/>
    </row>
    <row r="22" spans="2:23" s="76" customFormat="1" ht="20.100000000000001" customHeight="1">
      <c r="B22" s="282" t="str">
        <f t="shared" si="9"/>
        <v>H-06/549</v>
      </c>
      <c r="C22" s="283"/>
      <c r="D22" s="284">
        <v>2</v>
      </c>
      <c r="E22" s="285">
        <f t="shared" si="0"/>
        <v>0</v>
      </c>
      <c r="F22" s="286">
        <f t="shared" si="1"/>
        <v>260</v>
      </c>
      <c r="G22" s="287">
        <f t="shared" si="2"/>
        <v>4</v>
      </c>
      <c r="H22" s="288">
        <f t="shared" si="3"/>
        <v>0</v>
      </c>
      <c r="I22" s="288">
        <f t="shared" si="4"/>
        <v>0</v>
      </c>
      <c r="J22" s="289">
        <f t="shared" si="8"/>
        <v>4100</v>
      </c>
      <c r="K22" s="290"/>
      <c r="L22" s="113"/>
      <c r="M22" s="113"/>
      <c r="N22" s="301" t="s">
        <v>251</v>
      </c>
      <c r="O22" s="177">
        <v>4100</v>
      </c>
      <c r="P22" s="177">
        <v>260</v>
      </c>
      <c r="Q22" s="303">
        <v>4</v>
      </c>
      <c r="R22" s="177">
        <f t="shared" si="5"/>
        <v>1720</v>
      </c>
      <c r="S22" s="177">
        <f t="shared" si="6"/>
        <v>3180</v>
      </c>
      <c r="T22" s="178">
        <f t="shared" si="7"/>
        <v>4640</v>
      </c>
      <c r="U22" s="77"/>
      <c r="V22" s="77"/>
      <c r="W22" s="77"/>
    </row>
    <row r="23" spans="2:23" s="76" customFormat="1" ht="20.100000000000001" customHeight="1" thickBot="1">
      <c r="B23" s="291" t="str">
        <f t="shared" si="9"/>
        <v>H-03/244</v>
      </c>
      <c r="C23" s="292"/>
      <c r="D23" s="293">
        <v>1.3</v>
      </c>
      <c r="E23" s="294">
        <f t="shared" si="0"/>
        <v>0</v>
      </c>
      <c r="F23" s="295">
        <f t="shared" si="1"/>
        <v>320</v>
      </c>
      <c r="G23" s="296">
        <f t="shared" si="2"/>
        <v>9</v>
      </c>
      <c r="H23" s="297">
        <f t="shared" si="3"/>
        <v>0</v>
      </c>
      <c r="I23" s="297">
        <f t="shared" si="4"/>
        <v>0</v>
      </c>
      <c r="J23" s="298">
        <f t="shared" si="8"/>
        <v>3400</v>
      </c>
      <c r="K23" s="299"/>
      <c r="L23" s="113"/>
      <c r="M23" s="113"/>
      <c r="N23" s="301" t="s">
        <v>252</v>
      </c>
      <c r="O23" s="177">
        <v>3400</v>
      </c>
      <c r="P23" s="177">
        <v>320</v>
      </c>
      <c r="Q23" s="303">
        <v>9</v>
      </c>
      <c r="R23" s="177">
        <f t="shared" si="5"/>
        <v>3605</v>
      </c>
      <c r="S23" s="177">
        <f t="shared" si="6"/>
        <v>6890</v>
      </c>
      <c r="T23" s="178">
        <f t="shared" si="7"/>
        <v>10175</v>
      </c>
      <c r="U23" s="77"/>
      <c r="V23" s="77"/>
      <c r="W23" s="77"/>
    </row>
    <row r="24" spans="2:23" s="76" customFormat="1" ht="20.100000000000001" customHeight="1" thickTop="1">
      <c r="B24" s="264" t="str">
        <f t="shared" si="9"/>
        <v>대각재-B1725</v>
      </c>
      <c r="C24" s="265"/>
      <c r="D24" s="266">
        <v>5.3</v>
      </c>
      <c r="E24" s="267">
        <f t="shared" si="0"/>
        <v>0</v>
      </c>
      <c r="F24" s="268">
        <f t="shared" si="1"/>
        <v>290</v>
      </c>
      <c r="G24" s="269">
        <f t="shared" si="2"/>
        <v>8</v>
      </c>
      <c r="H24" s="270">
        <f t="shared" si="3"/>
        <v>0</v>
      </c>
      <c r="I24" s="270">
        <f t="shared" si="4"/>
        <v>0</v>
      </c>
      <c r="J24" s="271">
        <f t="shared" si="8"/>
        <v>9300</v>
      </c>
      <c r="K24" s="272"/>
      <c r="L24" s="113"/>
      <c r="M24" s="113"/>
      <c r="N24" s="301" t="s">
        <v>253</v>
      </c>
      <c r="O24" s="177">
        <v>9300</v>
      </c>
      <c r="P24" s="177">
        <v>290</v>
      </c>
      <c r="Q24" s="303">
        <v>8</v>
      </c>
      <c r="R24" s="177">
        <f t="shared" si="5"/>
        <v>3210</v>
      </c>
      <c r="S24" s="177">
        <f t="shared" si="6"/>
        <v>6130</v>
      </c>
      <c r="T24" s="178">
        <f t="shared" si="7"/>
        <v>9050</v>
      </c>
      <c r="U24" s="77"/>
      <c r="V24" s="77"/>
      <c r="W24" s="77"/>
    </row>
    <row r="25" spans="2:23" s="76" customFormat="1" ht="20.100000000000001" customHeight="1">
      <c r="B25" s="216" t="str">
        <f t="shared" si="9"/>
        <v>대각재-B1712</v>
      </c>
      <c r="C25" s="217"/>
      <c r="D25" s="234">
        <v>5</v>
      </c>
      <c r="E25" s="218">
        <f t="shared" si="0"/>
        <v>0</v>
      </c>
      <c r="F25" s="219">
        <f t="shared" si="1"/>
        <v>250</v>
      </c>
      <c r="G25" s="220">
        <f t="shared" si="2"/>
        <v>7</v>
      </c>
      <c r="H25" s="221">
        <f t="shared" si="3"/>
        <v>0</v>
      </c>
      <c r="I25" s="221">
        <f t="shared" si="4"/>
        <v>0</v>
      </c>
      <c r="J25" s="222">
        <f t="shared" si="8"/>
        <v>8700</v>
      </c>
      <c r="K25" s="223"/>
      <c r="L25" s="113"/>
      <c r="M25" s="113"/>
      <c r="N25" s="301" t="s">
        <v>254</v>
      </c>
      <c r="O25" s="177">
        <v>8700</v>
      </c>
      <c r="P25" s="177">
        <v>250</v>
      </c>
      <c r="Q25" s="303">
        <v>7</v>
      </c>
      <c r="R25" s="177">
        <f t="shared" si="5"/>
        <v>2805</v>
      </c>
      <c r="S25" s="177">
        <f t="shared" si="6"/>
        <v>5360</v>
      </c>
      <c r="T25" s="178">
        <f t="shared" si="7"/>
        <v>7915</v>
      </c>
      <c r="U25" s="77"/>
      <c r="V25" s="77"/>
      <c r="W25" s="77"/>
    </row>
    <row r="26" spans="2:23" s="76" customFormat="1" ht="20.100000000000001" customHeight="1">
      <c r="B26" s="216" t="str">
        <f t="shared" si="9"/>
        <v>대각재-B1709</v>
      </c>
      <c r="C26" s="217"/>
      <c r="D26" s="234">
        <v>4.7</v>
      </c>
      <c r="E26" s="218">
        <f t="shared" si="0"/>
        <v>0</v>
      </c>
      <c r="F26" s="219">
        <f>P27</f>
        <v>180</v>
      </c>
      <c r="G26" s="220">
        <f t="shared" ref="G26:G34" si="10">Q26</f>
        <v>6</v>
      </c>
      <c r="H26" s="221">
        <f t="shared" si="3"/>
        <v>0</v>
      </c>
      <c r="I26" s="221">
        <f t="shared" si="4"/>
        <v>0</v>
      </c>
      <c r="J26" s="222">
        <f>O27</f>
        <v>10200</v>
      </c>
      <c r="K26" s="223"/>
      <c r="L26" s="113"/>
      <c r="M26" s="113"/>
      <c r="N26" s="301" t="s">
        <v>255</v>
      </c>
      <c r="O26" s="177">
        <v>8200</v>
      </c>
      <c r="P26" s="177">
        <v>220</v>
      </c>
      <c r="Q26" s="303">
        <v>6</v>
      </c>
      <c r="R26" s="177">
        <f t="shared" si="5"/>
        <v>2410</v>
      </c>
      <c r="S26" s="177">
        <f t="shared" si="6"/>
        <v>4600</v>
      </c>
      <c r="T26" s="178">
        <f t="shared" si="7"/>
        <v>6790</v>
      </c>
      <c r="U26" s="77"/>
      <c r="V26" s="77"/>
      <c r="W26" s="77"/>
    </row>
    <row r="27" spans="2:23" s="76" customFormat="1" ht="20.100000000000001" customHeight="1">
      <c r="B27" s="216" t="str">
        <f t="shared" si="9"/>
        <v>가새 42*2200</v>
      </c>
      <c r="C27" s="217"/>
      <c r="D27" s="234">
        <v>6</v>
      </c>
      <c r="E27" s="218">
        <f t="shared" si="0"/>
        <v>0</v>
      </c>
      <c r="F27" s="219">
        <f t="shared" ref="F27:F34" si="11">P27</f>
        <v>180</v>
      </c>
      <c r="G27" s="220">
        <f t="shared" si="10"/>
        <v>5</v>
      </c>
      <c r="H27" s="221">
        <f t="shared" si="3"/>
        <v>0</v>
      </c>
      <c r="I27" s="221">
        <f t="shared" si="4"/>
        <v>0</v>
      </c>
      <c r="J27" s="222">
        <f>O28</f>
        <v>8200</v>
      </c>
      <c r="K27" s="223"/>
      <c r="L27" s="113"/>
      <c r="M27" s="113"/>
      <c r="N27" s="301" t="s">
        <v>189</v>
      </c>
      <c r="O27" s="177">
        <v>10200</v>
      </c>
      <c r="P27" s="177">
        <v>180</v>
      </c>
      <c r="Q27" s="303">
        <v>5</v>
      </c>
      <c r="R27" s="177">
        <f t="shared" si="5"/>
        <v>2005</v>
      </c>
      <c r="S27" s="177">
        <f t="shared" si="6"/>
        <v>3830</v>
      </c>
      <c r="T27" s="178">
        <f t="shared" si="7"/>
        <v>5655</v>
      </c>
      <c r="U27" s="77"/>
      <c r="V27" s="77"/>
      <c r="W27" s="77"/>
    </row>
    <row r="28" spans="2:23" s="76" customFormat="1" ht="20.100000000000001" customHeight="1" thickBot="1">
      <c r="B28" s="224" t="str">
        <f t="shared" si="9"/>
        <v>가새 42*1800</v>
      </c>
      <c r="C28" s="225"/>
      <c r="D28" s="246">
        <v>5.6</v>
      </c>
      <c r="E28" s="226">
        <f t="shared" si="0"/>
        <v>0</v>
      </c>
      <c r="F28" s="227">
        <f t="shared" si="11"/>
        <v>160</v>
      </c>
      <c r="G28" s="228">
        <f t="shared" si="10"/>
        <v>4</v>
      </c>
      <c r="H28" s="229">
        <f t="shared" si="3"/>
        <v>0</v>
      </c>
      <c r="I28" s="229">
        <f t="shared" si="4"/>
        <v>0</v>
      </c>
      <c r="J28" s="230">
        <f t="shared" ref="J28:J34" si="12">O28</f>
        <v>8200</v>
      </c>
      <c r="K28" s="231"/>
      <c r="L28" s="113"/>
      <c r="M28" s="113"/>
      <c r="N28" s="301" t="s">
        <v>190</v>
      </c>
      <c r="O28" s="177">
        <v>8200</v>
      </c>
      <c r="P28" s="177">
        <v>160</v>
      </c>
      <c r="Q28" s="303">
        <v>4</v>
      </c>
      <c r="R28" s="177">
        <f t="shared" si="5"/>
        <v>1620</v>
      </c>
      <c r="S28" s="177">
        <f t="shared" si="6"/>
        <v>3080</v>
      </c>
      <c r="T28" s="178">
        <f t="shared" si="7"/>
        <v>4540</v>
      </c>
      <c r="U28" s="77"/>
      <c r="V28" s="77"/>
      <c r="W28" s="77"/>
    </row>
    <row r="29" spans="2:23" s="76" customFormat="1" ht="20.100000000000001" customHeight="1" thickTop="1">
      <c r="B29" s="208" t="str">
        <f t="shared" si="9"/>
        <v>각관 125*75*3.0m</v>
      </c>
      <c r="C29" s="209"/>
      <c r="D29" s="233">
        <v>26.01</v>
      </c>
      <c r="E29" s="210">
        <f t="shared" si="0"/>
        <v>0</v>
      </c>
      <c r="F29" s="211">
        <f t="shared" si="11"/>
        <v>1100</v>
      </c>
      <c r="G29" s="212">
        <f t="shared" si="10"/>
        <v>30</v>
      </c>
      <c r="H29" s="213">
        <f t="shared" si="3"/>
        <v>0</v>
      </c>
      <c r="I29" s="213">
        <f t="shared" si="4"/>
        <v>0</v>
      </c>
      <c r="J29" s="214">
        <f t="shared" si="12"/>
        <v>28500</v>
      </c>
      <c r="K29" s="215"/>
      <c r="L29" s="113"/>
      <c r="M29" s="113"/>
      <c r="N29" s="301" t="s">
        <v>192</v>
      </c>
      <c r="O29" s="177">
        <v>28500</v>
      </c>
      <c r="P29" s="177">
        <v>1100</v>
      </c>
      <c r="Q29" s="303">
        <v>30</v>
      </c>
      <c r="R29" s="177">
        <f t="shared" si="5"/>
        <v>12050</v>
      </c>
      <c r="S29" s="177">
        <f t="shared" si="6"/>
        <v>23000</v>
      </c>
      <c r="T29" s="178">
        <f t="shared" si="7"/>
        <v>33950</v>
      </c>
      <c r="U29" s="77"/>
      <c r="V29" s="77"/>
      <c r="W29" s="77"/>
    </row>
    <row r="30" spans="2:23" s="76" customFormat="1" ht="20.100000000000001" customHeight="1">
      <c r="B30" s="216" t="str">
        <f t="shared" si="9"/>
        <v>각관 125*75*2.5m</v>
      </c>
      <c r="C30" s="217"/>
      <c r="D30" s="234">
        <v>21.67</v>
      </c>
      <c r="E30" s="218">
        <f t="shared" si="0"/>
        <v>0</v>
      </c>
      <c r="F30" s="219">
        <f t="shared" si="11"/>
        <v>900</v>
      </c>
      <c r="G30" s="220">
        <f t="shared" si="10"/>
        <v>26</v>
      </c>
      <c r="H30" s="221">
        <f t="shared" si="3"/>
        <v>0</v>
      </c>
      <c r="I30" s="221">
        <f t="shared" si="4"/>
        <v>0</v>
      </c>
      <c r="J30" s="222">
        <f t="shared" si="12"/>
        <v>23750</v>
      </c>
      <c r="K30" s="223"/>
      <c r="L30" s="113"/>
      <c r="M30" s="113"/>
      <c r="N30" s="301" t="s">
        <v>193</v>
      </c>
      <c r="O30" s="177">
        <v>23750</v>
      </c>
      <c r="P30" s="177">
        <v>900</v>
      </c>
      <c r="Q30" s="303">
        <v>26</v>
      </c>
      <c r="R30" s="177">
        <f t="shared" si="5"/>
        <v>10390</v>
      </c>
      <c r="S30" s="177">
        <f t="shared" si="6"/>
        <v>19880</v>
      </c>
      <c r="T30" s="178">
        <f t="shared" si="7"/>
        <v>29370</v>
      </c>
      <c r="U30" s="77"/>
      <c r="V30" s="77"/>
      <c r="W30" s="77"/>
    </row>
    <row r="31" spans="2:23" s="76" customFormat="1" ht="20.100000000000001" customHeight="1">
      <c r="B31" s="216" t="str">
        <f t="shared" si="9"/>
        <v>각관 125*75*2.0m</v>
      </c>
      <c r="C31" s="217"/>
      <c r="D31" s="234">
        <v>17.34</v>
      </c>
      <c r="E31" s="218">
        <f t="shared" si="0"/>
        <v>0</v>
      </c>
      <c r="F31" s="219">
        <f t="shared" si="11"/>
        <v>700</v>
      </c>
      <c r="G31" s="220">
        <f t="shared" si="10"/>
        <v>23</v>
      </c>
      <c r="H31" s="221">
        <f t="shared" si="3"/>
        <v>0</v>
      </c>
      <c r="I31" s="221">
        <f t="shared" si="4"/>
        <v>0</v>
      </c>
      <c r="J31" s="222">
        <f t="shared" si="12"/>
        <v>19000</v>
      </c>
      <c r="K31" s="223"/>
      <c r="L31" s="113"/>
      <c r="M31" s="113"/>
      <c r="N31" s="301" t="s">
        <v>194</v>
      </c>
      <c r="O31" s="177">
        <v>19000</v>
      </c>
      <c r="P31" s="177">
        <v>700</v>
      </c>
      <c r="Q31" s="303">
        <v>23</v>
      </c>
      <c r="R31" s="177">
        <f t="shared" si="5"/>
        <v>9095</v>
      </c>
      <c r="S31" s="177">
        <f t="shared" si="6"/>
        <v>17490</v>
      </c>
      <c r="T31" s="178">
        <f t="shared" si="7"/>
        <v>25885</v>
      </c>
      <c r="U31" s="77"/>
      <c r="V31" s="77"/>
      <c r="W31" s="77"/>
    </row>
    <row r="32" spans="2:23" s="76" customFormat="1" ht="20.100000000000001" customHeight="1">
      <c r="B32" s="216" t="str">
        <f t="shared" si="9"/>
        <v>각관 125*75*1.5m</v>
      </c>
      <c r="C32" s="217"/>
      <c r="D32" s="234">
        <v>13</v>
      </c>
      <c r="E32" s="218">
        <f t="shared" si="0"/>
        <v>0</v>
      </c>
      <c r="F32" s="219">
        <f t="shared" si="11"/>
        <v>550</v>
      </c>
      <c r="G32" s="220">
        <f t="shared" si="10"/>
        <v>17</v>
      </c>
      <c r="H32" s="221">
        <f t="shared" si="3"/>
        <v>0</v>
      </c>
      <c r="I32" s="221">
        <f t="shared" si="4"/>
        <v>0</v>
      </c>
      <c r="J32" s="222">
        <f t="shared" si="12"/>
        <v>14250</v>
      </c>
      <c r="K32" s="223"/>
      <c r="L32" s="113"/>
      <c r="M32" s="113"/>
      <c r="N32" s="301" t="s">
        <v>195</v>
      </c>
      <c r="O32" s="177">
        <v>14250</v>
      </c>
      <c r="P32" s="177">
        <v>550</v>
      </c>
      <c r="Q32" s="303">
        <v>17</v>
      </c>
      <c r="R32" s="177">
        <f t="shared" si="5"/>
        <v>6755</v>
      </c>
      <c r="S32" s="177">
        <f t="shared" si="6"/>
        <v>12960</v>
      </c>
      <c r="T32" s="178">
        <f t="shared" si="7"/>
        <v>19165</v>
      </c>
      <c r="U32" s="77"/>
      <c r="V32" s="77"/>
      <c r="W32" s="77"/>
    </row>
    <row r="33" spans="2:23" s="76" customFormat="1" ht="20.100000000000001" customHeight="1">
      <c r="B33" s="216" t="str">
        <f t="shared" si="9"/>
        <v>각관 125*75*1.2m</v>
      </c>
      <c r="C33" s="217"/>
      <c r="D33" s="234">
        <v>10.4</v>
      </c>
      <c r="E33" s="218">
        <f t="shared" si="0"/>
        <v>0</v>
      </c>
      <c r="F33" s="219">
        <f t="shared" si="11"/>
        <v>400</v>
      </c>
      <c r="G33" s="220">
        <f t="shared" si="10"/>
        <v>14</v>
      </c>
      <c r="H33" s="221">
        <f t="shared" si="3"/>
        <v>0</v>
      </c>
      <c r="I33" s="221">
        <f t="shared" si="4"/>
        <v>0</v>
      </c>
      <c r="J33" s="222">
        <f t="shared" si="12"/>
        <v>13200</v>
      </c>
      <c r="K33" s="223"/>
      <c r="L33" s="113"/>
      <c r="M33" s="113"/>
      <c r="N33" s="301" t="s">
        <v>196</v>
      </c>
      <c r="O33" s="177">
        <v>13200</v>
      </c>
      <c r="P33" s="177">
        <v>400</v>
      </c>
      <c r="Q33" s="303">
        <v>14</v>
      </c>
      <c r="R33" s="177">
        <f t="shared" si="5"/>
        <v>5510</v>
      </c>
      <c r="S33" s="177">
        <f t="shared" si="6"/>
        <v>10620</v>
      </c>
      <c r="T33" s="178">
        <f t="shared" si="7"/>
        <v>15730</v>
      </c>
      <c r="U33" s="77"/>
      <c r="V33" s="77"/>
      <c r="W33" s="77"/>
    </row>
    <row r="34" spans="2:23" s="76" customFormat="1" ht="20.100000000000001" customHeight="1" thickBot="1">
      <c r="B34" s="224" t="str">
        <f>N34</f>
        <v>각관 125*75*1.0m</v>
      </c>
      <c r="C34" s="225"/>
      <c r="D34" s="246">
        <v>8.67</v>
      </c>
      <c r="E34" s="226">
        <f t="shared" si="0"/>
        <v>0</v>
      </c>
      <c r="F34" s="227">
        <f t="shared" si="11"/>
        <v>350</v>
      </c>
      <c r="G34" s="228">
        <f t="shared" si="10"/>
        <v>13</v>
      </c>
      <c r="H34" s="229">
        <f t="shared" si="3"/>
        <v>0</v>
      </c>
      <c r="I34" s="229">
        <f t="shared" si="4"/>
        <v>0</v>
      </c>
      <c r="J34" s="230">
        <f t="shared" si="12"/>
        <v>11000</v>
      </c>
      <c r="K34" s="231"/>
      <c r="L34" s="113"/>
      <c r="M34" s="113"/>
      <c r="N34" s="302" t="s">
        <v>197</v>
      </c>
      <c r="O34" s="190">
        <v>11000</v>
      </c>
      <c r="P34" s="190">
        <v>350</v>
      </c>
      <c r="Q34" s="304">
        <v>13</v>
      </c>
      <c r="R34" s="190">
        <f t="shared" si="5"/>
        <v>5095</v>
      </c>
      <c r="S34" s="190">
        <f t="shared" si="6"/>
        <v>9840</v>
      </c>
      <c r="T34" s="191">
        <f t="shared" si="7"/>
        <v>14585</v>
      </c>
      <c r="U34" s="77"/>
      <c r="V34" s="77"/>
      <c r="W34" s="77"/>
    </row>
    <row r="35" spans="2:23" ht="20.100000000000001" customHeight="1" thickTop="1">
      <c r="B35" s="148" t="s">
        <v>147</v>
      </c>
      <c r="C35" s="149"/>
      <c r="D35" s="149"/>
      <c r="E35" s="154">
        <f>SUM(E11:E34)</f>
        <v>0</v>
      </c>
      <c r="F35" s="150"/>
      <c r="G35" s="150"/>
      <c r="H35" s="151">
        <f>SUM(H11:H34)</f>
        <v>0</v>
      </c>
      <c r="I35" s="152">
        <f>SUM(I11:I34)</f>
        <v>0</v>
      </c>
      <c r="J35" s="150"/>
      <c r="K35" s="153"/>
      <c r="L35" s="115"/>
      <c r="M35" s="115"/>
    </row>
    <row r="36" spans="2:23" ht="20.100000000000001" customHeight="1">
      <c r="B36" s="85" t="s">
        <v>141</v>
      </c>
      <c r="C36" s="719"/>
      <c r="D36" s="719"/>
      <c r="E36" s="719"/>
      <c r="F36" s="719"/>
      <c r="G36" s="719"/>
      <c r="H36" s="719"/>
      <c r="I36" s="131"/>
      <c r="J36" s="131"/>
      <c r="K36" s="136"/>
    </row>
    <row r="37" spans="2:23" ht="20.100000000000001" customHeight="1">
      <c r="B37" s="91" t="s">
        <v>142</v>
      </c>
      <c r="C37" s="134"/>
      <c r="D37" s="134"/>
      <c r="E37" s="134"/>
      <c r="F37" s="134"/>
      <c r="G37" s="134"/>
      <c r="H37" s="134"/>
      <c r="K37" s="116"/>
      <c r="P37" s="203"/>
    </row>
    <row r="38" spans="2:23" ht="20.100000000000001" customHeight="1" thickBot="1">
      <c r="B38" s="91" t="s">
        <v>143</v>
      </c>
      <c r="C38" s="134"/>
      <c r="D38" s="134"/>
      <c r="E38" s="134"/>
      <c r="F38" s="134"/>
      <c r="G38" s="134"/>
      <c r="H38" s="134"/>
      <c r="K38" s="116"/>
    </row>
    <row r="39" spans="2:23" ht="20.100000000000001" customHeight="1" thickBot="1">
      <c r="B39" s="91" t="s">
        <v>165</v>
      </c>
      <c r="C39" s="134"/>
      <c r="D39" s="132"/>
      <c r="E39" s="134"/>
      <c r="F39" s="135">
        <f>H35+(I35*90)</f>
        <v>0</v>
      </c>
      <c r="G39" s="133" t="s">
        <v>166</v>
      </c>
      <c r="H39" s="134" t="s">
        <v>167</v>
      </c>
      <c r="I39" s="134" t="s">
        <v>168</v>
      </c>
      <c r="J39" s="135">
        <f>K35</f>
        <v>0</v>
      </c>
      <c r="K39" s="133" t="s">
        <v>169</v>
      </c>
      <c r="P39" s="204"/>
    </row>
    <row r="40" spans="2:23" ht="20.100000000000001" customHeight="1">
      <c r="B40" s="91" t="s">
        <v>198</v>
      </c>
      <c r="C40" s="82"/>
      <c r="D40" s="83"/>
      <c r="E40" s="83"/>
      <c r="F40" s="117"/>
      <c r="G40" s="118"/>
      <c r="H40" s="118"/>
      <c r="K40" s="116"/>
    </row>
    <row r="41" spans="2:23" ht="20.100000000000001" customHeight="1">
      <c r="B41" s="91" t="s">
        <v>199</v>
      </c>
      <c r="C41" s="82"/>
      <c r="D41" s="83"/>
      <c r="E41" s="83"/>
      <c r="F41" s="117"/>
      <c r="G41" s="118"/>
      <c r="H41" s="118"/>
      <c r="K41" s="116"/>
    </row>
    <row r="42" spans="2:23" ht="20.100000000000001" customHeight="1" thickBot="1">
      <c r="B42" s="137" t="s">
        <v>200</v>
      </c>
      <c r="C42" s="138"/>
      <c r="D42" s="139"/>
      <c r="E42" s="139"/>
      <c r="F42" s="139"/>
      <c r="G42" s="140"/>
      <c r="H42" s="141"/>
      <c r="I42" s="142"/>
      <c r="J42" s="142"/>
      <c r="K42" s="119"/>
    </row>
    <row r="43" spans="2:23" ht="24.75" thickBot="1">
      <c r="B43" s="720" t="s">
        <v>6</v>
      </c>
      <c r="C43" s="721"/>
      <c r="D43" s="721"/>
      <c r="E43" s="721"/>
      <c r="F43" s="721"/>
      <c r="G43" s="721"/>
      <c r="H43" s="721"/>
      <c r="I43" s="721"/>
      <c r="J43" s="721"/>
      <c r="K43" s="722"/>
    </row>
  </sheetData>
  <mergeCells count="19">
    <mergeCell ref="B1:K1"/>
    <mergeCell ref="H3:J3"/>
    <mergeCell ref="K3:K7"/>
    <mergeCell ref="C4:E4"/>
    <mergeCell ref="C5:E5"/>
    <mergeCell ref="C6:E6"/>
    <mergeCell ref="H6:J6"/>
    <mergeCell ref="H7:J7"/>
    <mergeCell ref="C36:H36"/>
    <mergeCell ref="B43:K43"/>
    <mergeCell ref="H5:J5"/>
    <mergeCell ref="B9:B10"/>
    <mergeCell ref="C9:C10"/>
    <mergeCell ref="D9:D10"/>
    <mergeCell ref="E9:E10"/>
    <mergeCell ref="F9:G9"/>
    <mergeCell ref="H9:I9"/>
    <mergeCell ref="J9:J10"/>
    <mergeCell ref="K9:K10"/>
  </mergeCells>
  <phoneticPr fontId="58" type="noConversion"/>
  <printOptions horizontalCentered="1"/>
  <pageMargins left="0" right="0" top="0.39370078740157483" bottom="0" header="0.23622047244094491" footer="0.19685039370078741"/>
  <pageSetup paperSize="9" scale="7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E1:P59"/>
  <sheetViews>
    <sheetView zoomScale="85" zoomScaleNormal="85" workbookViewId="0">
      <selection activeCell="N6" sqref="N6:P8"/>
    </sheetView>
  </sheetViews>
  <sheetFormatPr defaultRowHeight="16.5"/>
  <cols>
    <col min="13" max="13" width="11.375" customWidth="1"/>
  </cols>
  <sheetData>
    <row r="1" spans="5:16" ht="17.25" thickBot="1"/>
    <row r="2" spans="5:16">
      <c r="E2" s="759" t="s">
        <v>201</v>
      </c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1"/>
    </row>
    <row r="3" spans="5:16">
      <c r="E3" s="762"/>
      <c r="F3" s="763"/>
      <c r="G3" s="763"/>
      <c r="H3" s="763"/>
      <c r="I3" s="763"/>
      <c r="J3" s="763"/>
      <c r="K3" s="763"/>
      <c r="L3" s="763"/>
      <c r="M3" s="763"/>
      <c r="N3" s="763"/>
      <c r="O3" s="763"/>
      <c r="P3" s="764"/>
    </row>
    <row r="4" spans="5:16">
      <c r="E4" s="762"/>
      <c r="F4" s="763"/>
      <c r="G4" s="763"/>
      <c r="H4" s="763"/>
      <c r="I4" s="763"/>
      <c r="J4" s="763"/>
      <c r="K4" s="763"/>
      <c r="L4" s="763"/>
      <c r="M4" s="763"/>
      <c r="N4" s="763"/>
      <c r="O4" s="763"/>
      <c r="P4" s="764"/>
    </row>
    <row r="5" spans="5:16">
      <c r="E5" s="762"/>
      <c r="F5" s="763"/>
      <c r="G5" s="763"/>
      <c r="H5" s="763"/>
      <c r="I5" s="763"/>
      <c r="J5" s="763"/>
      <c r="K5" s="763"/>
      <c r="L5" s="763"/>
      <c r="M5" s="763"/>
      <c r="N5" s="763"/>
      <c r="O5" s="763"/>
      <c r="P5" s="764"/>
    </row>
    <row r="6" spans="5:16">
      <c r="E6" s="793" t="s">
        <v>202</v>
      </c>
      <c r="F6" s="785"/>
      <c r="G6" s="794"/>
      <c r="H6" s="799" t="s">
        <v>203</v>
      </c>
      <c r="I6" s="800"/>
      <c r="J6" s="801"/>
      <c r="K6" s="784" t="s">
        <v>202</v>
      </c>
      <c r="L6" s="785"/>
      <c r="M6" s="794"/>
      <c r="N6" s="784" t="s">
        <v>204</v>
      </c>
      <c r="O6" s="785"/>
      <c r="P6" s="786"/>
    </row>
    <row r="7" spans="5:16">
      <c r="E7" s="795"/>
      <c r="F7" s="788"/>
      <c r="G7" s="796"/>
      <c r="H7" s="802"/>
      <c r="I7" s="803"/>
      <c r="J7" s="804"/>
      <c r="K7" s="787"/>
      <c r="L7" s="788"/>
      <c r="M7" s="796"/>
      <c r="N7" s="787"/>
      <c r="O7" s="788"/>
      <c r="P7" s="789"/>
    </row>
    <row r="8" spans="5:16">
      <c r="E8" s="797"/>
      <c r="F8" s="791"/>
      <c r="G8" s="798"/>
      <c r="H8" s="805"/>
      <c r="I8" s="806"/>
      <c r="J8" s="807"/>
      <c r="K8" s="790"/>
      <c r="L8" s="791"/>
      <c r="M8" s="798"/>
      <c r="N8" s="790"/>
      <c r="O8" s="791"/>
      <c r="P8" s="792"/>
    </row>
    <row r="9" spans="5:16">
      <c r="E9" s="793" t="s">
        <v>205</v>
      </c>
      <c r="F9" s="785"/>
      <c r="G9" s="794"/>
      <c r="H9" s="784"/>
      <c r="I9" s="785"/>
      <c r="J9" s="794"/>
      <c r="K9" s="784" t="s">
        <v>206</v>
      </c>
      <c r="L9" s="785"/>
      <c r="M9" s="794"/>
      <c r="N9" s="784"/>
      <c r="O9" s="785"/>
      <c r="P9" s="786"/>
    </row>
    <row r="10" spans="5:16" ht="15.75" customHeight="1">
      <c r="E10" s="795"/>
      <c r="F10" s="788"/>
      <c r="G10" s="796"/>
      <c r="H10" s="787"/>
      <c r="I10" s="788"/>
      <c r="J10" s="796"/>
      <c r="K10" s="787"/>
      <c r="L10" s="788"/>
      <c r="M10" s="796"/>
      <c r="N10" s="787"/>
      <c r="O10" s="788"/>
      <c r="P10" s="789"/>
    </row>
    <row r="11" spans="5:16">
      <c r="E11" s="797"/>
      <c r="F11" s="791"/>
      <c r="G11" s="798"/>
      <c r="H11" s="790"/>
      <c r="I11" s="791"/>
      <c r="J11" s="798"/>
      <c r="K11" s="790"/>
      <c r="L11" s="791"/>
      <c r="M11" s="798"/>
      <c r="N11" s="790"/>
      <c r="O11" s="791"/>
      <c r="P11" s="792"/>
    </row>
    <row r="12" spans="5:16">
      <c r="E12" s="808" t="s">
        <v>207</v>
      </c>
      <c r="F12" s="765"/>
      <c r="G12" s="765"/>
      <c r="H12" s="765"/>
      <c r="I12" s="765"/>
      <c r="J12" s="765"/>
      <c r="K12" s="765" t="s">
        <v>208</v>
      </c>
      <c r="L12" s="765"/>
      <c r="M12" s="765"/>
      <c r="N12" s="765"/>
      <c r="O12" s="765"/>
      <c r="P12" s="782"/>
    </row>
    <row r="13" spans="5:16">
      <c r="E13" s="809"/>
      <c r="F13" s="766"/>
      <c r="G13" s="766"/>
      <c r="H13" s="766"/>
      <c r="I13" s="766"/>
      <c r="J13" s="766"/>
      <c r="K13" s="766"/>
      <c r="L13" s="766"/>
      <c r="M13" s="766"/>
      <c r="N13" s="766"/>
      <c r="O13" s="766"/>
      <c r="P13" s="783"/>
    </row>
    <row r="14" spans="5:16" ht="17.25" thickBot="1">
      <c r="E14" s="809"/>
      <c r="F14" s="766"/>
      <c r="G14" s="766"/>
      <c r="H14" s="766"/>
      <c r="I14" s="766"/>
      <c r="J14" s="766"/>
      <c r="K14" s="766"/>
      <c r="L14" s="766"/>
      <c r="M14" s="766"/>
      <c r="N14" s="766"/>
      <c r="O14" s="766"/>
      <c r="P14" s="783"/>
    </row>
    <row r="15" spans="5:16" ht="17.25" thickTop="1">
      <c r="E15" s="767" t="s">
        <v>209</v>
      </c>
      <c r="F15" s="768"/>
      <c r="G15" s="768"/>
      <c r="H15" s="768"/>
      <c r="I15" s="768"/>
      <c r="J15" s="769"/>
      <c r="K15" s="773" t="s">
        <v>210</v>
      </c>
      <c r="L15" s="768"/>
      <c r="M15" s="768"/>
      <c r="N15" s="768"/>
      <c r="O15" s="768"/>
      <c r="P15" s="774"/>
    </row>
    <row r="16" spans="5:16" ht="17.25" thickBot="1">
      <c r="E16" s="770"/>
      <c r="F16" s="771"/>
      <c r="G16" s="771"/>
      <c r="H16" s="771"/>
      <c r="I16" s="771"/>
      <c r="J16" s="772"/>
      <c r="K16" s="775"/>
      <c r="L16" s="771"/>
      <c r="M16" s="771"/>
      <c r="N16" s="771"/>
      <c r="O16" s="771"/>
      <c r="P16" s="776"/>
    </row>
    <row r="17" spans="5:16" ht="17.25" thickTop="1">
      <c r="E17" s="777" t="s">
        <v>208</v>
      </c>
      <c r="F17" s="778"/>
      <c r="G17" s="779"/>
      <c r="H17" s="780" t="s">
        <v>211</v>
      </c>
      <c r="I17" s="780"/>
      <c r="J17" s="780"/>
      <c r="K17" s="780" t="s">
        <v>208</v>
      </c>
      <c r="L17" s="780"/>
      <c r="M17" s="780"/>
      <c r="N17" s="780" t="s">
        <v>211</v>
      </c>
      <c r="O17" s="780"/>
      <c r="P17" s="781"/>
    </row>
    <row r="18" spans="5:16">
      <c r="E18" s="811" t="s">
        <v>212</v>
      </c>
      <c r="F18" s="812"/>
      <c r="G18" s="813"/>
      <c r="H18" s="733"/>
      <c r="I18" s="734"/>
      <c r="J18" s="810"/>
      <c r="K18" s="814" t="s">
        <v>213</v>
      </c>
      <c r="L18" s="812"/>
      <c r="M18" s="813"/>
      <c r="N18" s="733"/>
      <c r="O18" s="734"/>
      <c r="P18" s="735"/>
    </row>
    <row r="19" spans="5:16">
      <c r="E19" s="758"/>
      <c r="F19" s="752"/>
      <c r="G19" s="753"/>
      <c r="H19" s="736"/>
      <c r="I19" s="731"/>
      <c r="J19" s="732"/>
      <c r="K19" s="751"/>
      <c r="L19" s="752"/>
      <c r="M19" s="753"/>
      <c r="N19" s="736"/>
      <c r="O19" s="731"/>
      <c r="P19" s="737"/>
    </row>
    <row r="20" spans="5:16">
      <c r="E20" s="757" t="s">
        <v>214</v>
      </c>
      <c r="F20" s="749"/>
      <c r="G20" s="750"/>
      <c r="H20" s="747"/>
      <c r="I20" s="728"/>
      <c r="J20" s="729"/>
      <c r="K20" s="748" t="s">
        <v>215</v>
      </c>
      <c r="L20" s="749"/>
      <c r="M20" s="750"/>
      <c r="N20" s="733"/>
      <c r="O20" s="734"/>
      <c r="P20" s="735"/>
    </row>
    <row r="21" spans="5:16">
      <c r="E21" s="758"/>
      <c r="F21" s="752"/>
      <c r="G21" s="753"/>
      <c r="H21" s="736"/>
      <c r="I21" s="731"/>
      <c r="J21" s="732"/>
      <c r="K21" s="751"/>
      <c r="L21" s="752"/>
      <c r="M21" s="753"/>
      <c r="N21" s="736"/>
      <c r="O21" s="731"/>
      <c r="P21" s="737"/>
    </row>
    <row r="22" spans="5:16">
      <c r="E22" s="757" t="s">
        <v>216</v>
      </c>
      <c r="F22" s="749"/>
      <c r="G22" s="750"/>
      <c r="H22" s="747"/>
      <c r="I22" s="728"/>
      <c r="J22" s="729"/>
      <c r="K22" s="748" t="s">
        <v>217</v>
      </c>
      <c r="L22" s="749"/>
      <c r="M22" s="750"/>
      <c r="N22" s="733"/>
      <c r="O22" s="734"/>
      <c r="P22" s="735"/>
    </row>
    <row r="23" spans="5:16">
      <c r="E23" s="758"/>
      <c r="F23" s="752"/>
      <c r="G23" s="753"/>
      <c r="H23" s="736"/>
      <c r="I23" s="731"/>
      <c r="J23" s="732"/>
      <c r="K23" s="751"/>
      <c r="L23" s="752"/>
      <c r="M23" s="753"/>
      <c r="N23" s="736"/>
      <c r="O23" s="731"/>
      <c r="P23" s="737"/>
    </row>
    <row r="24" spans="5:16">
      <c r="E24" s="757" t="s">
        <v>218</v>
      </c>
      <c r="F24" s="749"/>
      <c r="G24" s="750"/>
      <c r="H24" s="747"/>
      <c r="I24" s="728"/>
      <c r="J24" s="729"/>
      <c r="K24" s="748" t="s">
        <v>219</v>
      </c>
      <c r="L24" s="749"/>
      <c r="M24" s="750"/>
      <c r="N24" s="733"/>
      <c r="O24" s="734"/>
      <c r="P24" s="735"/>
    </row>
    <row r="25" spans="5:16">
      <c r="E25" s="758"/>
      <c r="F25" s="752"/>
      <c r="G25" s="753"/>
      <c r="H25" s="736"/>
      <c r="I25" s="731"/>
      <c r="J25" s="732"/>
      <c r="K25" s="751"/>
      <c r="L25" s="752"/>
      <c r="M25" s="753"/>
      <c r="N25" s="736"/>
      <c r="O25" s="731"/>
      <c r="P25" s="737"/>
    </row>
    <row r="26" spans="5:16">
      <c r="E26" s="757" t="s">
        <v>220</v>
      </c>
      <c r="F26" s="749"/>
      <c r="G26" s="750"/>
      <c r="H26" s="747"/>
      <c r="I26" s="728"/>
      <c r="J26" s="729"/>
      <c r="K26" s="748" t="s">
        <v>221</v>
      </c>
      <c r="L26" s="749"/>
      <c r="M26" s="750"/>
      <c r="N26" s="733"/>
      <c r="O26" s="734"/>
      <c r="P26" s="735"/>
    </row>
    <row r="27" spans="5:16">
      <c r="E27" s="758"/>
      <c r="F27" s="752"/>
      <c r="G27" s="753"/>
      <c r="H27" s="736"/>
      <c r="I27" s="731"/>
      <c r="J27" s="732"/>
      <c r="K27" s="751"/>
      <c r="L27" s="752"/>
      <c r="M27" s="753"/>
      <c r="N27" s="736"/>
      <c r="O27" s="731"/>
      <c r="P27" s="737"/>
    </row>
    <row r="28" spans="5:16">
      <c r="E28" s="757" t="s">
        <v>222</v>
      </c>
      <c r="F28" s="749"/>
      <c r="G28" s="750"/>
      <c r="H28" s="747"/>
      <c r="I28" s="728"/>
      <c r="J28" s="729"/>
      <c r="K28" s="748" t="s">
        <v>223</v>
      </c>
      <c r="L28" s="749"/>
      <c r="M28" s="750"/>
      <c r="N28" s="733"/>
      <c r="O28" s="734"/>
      <c r="P28" s="735"/>
    </row>
    <row r="29" spans="5:16">
      <c r="E29" s="758"/>
      <c r="F29" s="752"/>
      <c r="G29" s="753"/>
      <c r="H29" s="736"/>
      <c r="I29" s="731"/>
      <c r="J29" s="732"/>
      <c r="K29" s="751"/>
      <c r="L29" s="752"/>
      <c r="M29" s="753"/>
      <c r="N29" s="736"/>
      <c r="O29" s="731"/>
      <c r="P29" s="737"/>
    </row>
    <row r="30" spans="5:16">
      <c r="E30" s="757" t="s">
        <v>224</v>
      </c>
      <c r="F30" s="749"/>
      <c r="G30" s="750"/>
      <c r="H30" s="747"/>
      <c r="I30" s="728"/>
      <c r="J30" s="729"/>
      <c r="K30" s="748" t="s">
        <v>225</v>
      </c>
      <c r="L30" s="749"/>
      <c r="M30" s="750"/>
      <c r="N30" s="733"/>
      <c r="O30" s="734"/>
      <c r="P30" s="735"/>
    </row>
    <row r="31" spans="5:16">
      <c r="E31" s="758"/>
      <c r="F31" s="752"/>
      <c r="G31" s="753"/>
      <c r="H31" s="736"/>
      <c r="I31" s="731"/>
      <c r="J31" s="732"/>
      <c r="K31" s="751"/>
      <c r="L31" s="752"/>
      <c r="M31" s="753"/>
      <c r="N31" s="736"/>
      <c r="O31" s="731"/>
      <c r="P31" s="737"/>
    </row>
    <row r="32" spans="5:16">
      <c r="E32" s="757" t="s">
        <v>226</v>
      </c>
      <c r="F32" s="749"/>
      <c r="G32" s="750"/>
      <c r="H32" s="747"/>
      <c r="I32" s="728"/>
      <c r="J32" s="729"/>
      <c r="K32" s="748" t="s">
        <v>227</v>
      </c>
      <c r="L32" s="749"/>
      <c r="M32" s="750"/>
      <c r="N32" s="733"/>
      <c r="O32" s="734"/>
      <c r="P32" s="735"/>
    </row>
    <row r="33" spans="5:16">
      <c r="E33" s="758"/>
      <c r="F33" s="752"/>
      <c r="G33" s="753"/>
      <c r="H33" s="736"/>
      <c r="I33" s="731"/>
      <c r="J33" s="732"/>
      <c r="K33" s="751"/>
      <c r="L33" s="752"/>
      <c r="M33" s="753"/>
      <c r="N33" s="736"/>
      <c r="O33" s="731"/>
      <c r="P33" s="737"/>
    </row>
    <row r="34" spans="5:16">
      <c r="E34" s="757" t="s">
        <v>228</v>
      </c>
      <c r="F34" s="749"/>
      <c r="G34" s="750"/>
      <c r="H34" s="747"/>
      <c r="I34" s="728"/>
      <c r="J34" s="729"/>
      <c r="K34" s="748" t="s">
        <v>229</v>
      </c>
      <c r="L34" s="749"/>
      <c r="M34" s="750"/>
      <c r="N34" s="733"/>
      <c r="O34" s="734"/>
      <c r="P34" s="735"/>
    </row>
    <row r="35" spans="5:16">
      <c r="E35" s="758"/>
      <c r="F35" s="752"/>
      <c r="G35" s="753"/>
      <c r="H35" s="736"/>
      <c r="I35" s="731"/>
      <c r="J35" s="732"/>
      <c r="K35" s="751"/>
      <c r="L35" s="752"/>
      <c r="M35" s="753"/>
      <c r="N35" s="736"/>
      <c r="O35" s="731"/>
      <c r="P35" s="737"/>
    </row>
    <row r="36" spans="5:16">
      <c r="E36" s="757" t="s">
        <v>230</v>
      </c>
      <c r="F36" s="749"/>
      <c r="G36" s="750"/>
      <c r="H36" s="747"/>
      <c r="I36" s="728"/>
      <c r="J36" s="729"/>
      <c r="K36" s="748" t="s">
        <v>231</v>
      </c>
      <c r="L36" s="749"/>
      <c r="M36" s="750"/>
      <c r="N36" s="733"/>
      <c r="O36" s="734"/>
      <c r="P36" s="735"/>
    </row>
    <row r="37" spans="5:16">
      <c r="E37" s="758"/>
      <c r="F37" s="752"/>
      <c r="G37" s="753"/>
      <c r="H37" s="736"/>
      <c r="I37" s="731"/>
      <c r="J37" s="732"/>
      <c r="K37" s="751"/>
      <c r="L37" s="752"/>
      <c r="M37" s="753"/>
      <c r="N37" s="736"/>
      <c r="O37" s="731"/>
      <c r="P37" s="737"/>
    </row>
    <row r="38" spans="5:16">
      <c r="E38" s="727"/>
      <c r="F38" s="728"/>
      <c r="G38" s="729"/>
      <c r="H38" s="747"/>
      <c r="I38" s="728"/>
      <c r="J38" s="729"/>
      <c r="K38" s="748" t="s">
        <v>232</v>
      </c>
      <c r="L38" s="749"/>
      <c r="M38" s="750"/>
      <c r="N38" s="733"/>
      <c r="O38" s="734"/>
      <c r="P38" s="735"/>
    </row>
    <row r="39" spans="5:16">
      <c r="E39" s="730"/>
      <c r="F39" s="731"/>
      <c r="G39" s="732"/>
      <c r="H39" s="736"/>
      <c r="I39" s="731"/>
      <c r="J39" s="732"/>
      <c r="K39" s="751"/>
      <c r="L39" s="752"/>
      <c r="M39" s="753"/>
      <c r="N39" s="736"/>
      <c r="O39" s="731"/>
      <c r="P39" s="737"/>
    </row>
    <row r="40" spans="5:16">
      <c r="E40" s="727"/>
      <c r="F40" s="728"/>
      <c r="G40" s="729"/>
      <c r="H40" s="747"/>
      <c r="I40" s="728"/>
      <c r="J40" s="729"/>
      <c r="K40" s="748" t="s">
        <v>233</v>
      </c>
      <c r="L40" s="749"/>
      <c r="M40" s="750"/>
      <c r="N40" s="733"/>
      <c r="O40" s="734"/>
      <c r="P40" s="735"/>
    </row>
    <row r="41" spans="5:16">
      <c r="E41" s="730"/>
      <c r="F41" s="731"/>
      <c r="G41" s="732"/>
      <c r="H41" s="736"/>
      <c r="I41" s="731"/>
      <c r="J41" s="732"/>
      <c r="K41" s="751"/>
      <c r="L41" s="752"/>
      <c r="M41" s="753"/>
      <c r="N41" s="736"/>
      <c r="O41" s="731"/>
      <c r="P41" s="737"/>
    </row>
    <row r="42" spans="5:16">
      <c r="E42" s="727"/>
      <c r="F42" s="728"/>
      <c r="G42" s="729"/>
      <c r="H42" s="747"/>
      <c r="I42" s="728"/>
      <c r="J42" s="729"/>
      <c r="K42" s="748" t="s">
        <v>234</v>
      </c>
      <c r="L42" s="749"/>
      <c r="M42" s="750"/>
      <c r="N42" s="733"/>
      <c r="O42" s="734"/>
      <c r="P42" s="735"/>
    </row>
    <row r="43" spans="5:16">
      <c r="E43" s="730"/>
      <c r="F43" s="731"/>
      <c r="G43" s="732"/>
      <c r="H43" s="736"/>
      <c r="I43" s="731"/>
      <c r="J43" s="732"/>
      <c r="K43" s="754"/>
      <c r="L43" s="755"/>
      <c r="M43" s="756"/>
      <c r="N43" s="736"/>
      <c r="O43" s="731"/>
      <c r="P43" s="737"/>
    </row>
    <row r="44" spans="5:16">
      <c r="E44" s="744" t="s">
        <v>235</v>
      </c>
      <c r="F44" s="745"/>
      <c r="G44" s="745"/>
      <c r="H44" s="745"/>
      <c r="I44" s="745"/>
      <c r="J44" s="745"/>
      <c r="K44" s="745"/>
      <c r="L44" s="745"/>
      <c r="M44" s="745"/>
      <c r="N44" s="745"/>
      <c r="O44" s="745"/>
      <c r="P44" s="746"/>
    </row>
    <row r="45" spans="5:16">
      <c r="E45" s="738"/>
      <c r="F45" s="739"/>
      <c r="G45" s="739"/>
      <c r="H45" s="739"/>
      <c r="I45" s="739"/>
      <c r="J45" s="739"/>
      <c r="K45" s="739"/>
      <c r="L45" s="739"/>
      <c r="M45" s="739"/>
      <c r="N45" s="739"/>
      <c r="O45" s="739"/>
      <c r="P45" s="740"/>
    </row>
    <row r="46" spans="5:16">
      <c r="E46" s="738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40"/>
    </row>
    <row r="47" spans="5:16">
      <c r="E47" s="738"/>
      <c r="F47" s="739"/>
      <c r="G47" s="739"/>
      <c r="H47" s="739"/>
      <c r="I47" s="739"/>
      <c r="J47" s="739"/>
      <c r="K47" s="739"/>
      <c r="L47" s="739"/>
      <c r="M47" s="739"/>
      <c r="N47" s="739"/>
      <c r="O47" s="739"/>
      <c r="P47" s="740"/>
    </row>
    <row r="48" spans="5:16">
      <c r="E48" s="738"/>
      <c r="F48" s="739"/>
      <c r="G48" s="739"/>
      <c r="H48" s="739"/>
      <c r="I48" s="739"/>
      <c r="J48" s="739"/>
      <c r="K48" s="739"/>
      <c r="L48" s="739"/>
      <c r="M48" s="739"/>
      <c r="N48" s="739"/>
      <c r="O48" s="739"/>
      <c r="P48" s="740"/>
    </row>
    <row r="49" spans="5:16">
      <c r="E49" s="738"/>
      <c r="F49" s="739"/>
      <c r="G49" s="739"/>
      <c r="H49" s="739"/>
      <c r="I49" s="739"/>
      <c r="J49" s="739"/>
      <c r="K49" s="739"/>
      <c r="L49" s="739"/>
      <c r="M49" s="739"/>
      <c r="N49" s="739"/>
      <c r="O49" s="739"/>
      <c r="P49" s="740"/>
    </row>
    <row r="50" spans="5:16">
      <c r="E50" s="738"/>
      <c r="F50" s="739"/>
      <c r="G50" s="739"/>
      <c r="H50" s="739"/>
      <c r="I50" s="739"/>
      <c r="J50" s="739"/>
      <c r="K50" s="739"/>
      <c r="L50" s="739"/>
      <c r="M50" s="739"/>
      <c r="N50" s="739"/>
      <c r="O50" s="739"/>
      <c r="P50" s="740"/>
    </row>
    <row r="51" spans="5:16">
      <c r="E51" s="738"/>
      <c r="F51" s="739"/>
      <c r="G51" s="739"/>
      <c r="H51" s="739"/>
      <c r="I51" s="739"/>
      <c r="J51" s="739"/>
      <c r="K51" s="739"/>
      <c r="L51" s="739"/>
      <c r="M51" s="739"/>
      <c r="N51" s="739"/>
      <c r="O51" s="739"/>
      <c r="P51" s="740"/>
    </row>
    <row r="52" spans="5:16">
      <c r="E52" s="738"/>
      <c r="F52" s="739"/>
      <c r="G52" s="739"/>
      <c r="H52" s="739"/>
      <c r="I52" s="739"/>
      <c r="J52" s="739"/>
      <c r="K52" s="739"/>
      <c r="L52" s="739"/>
      <c r="M52" s="739"/>
      <c r="N52" s="739"/>
      <c r="O52" s="739"/>
      <c r="P52" s="740"/>
    </row>
    <row r="53" spans="5:16">
      <c r="E53" s="738"/>
      <c r="F53" s="739"/>
      <c r="G53" s="739"/>
      <c r="H53" s="739"/>
      <c r="I53" s="739"/>
      <c r="J53" s="739"/>
      <c r="K53" s="739"/>
      <c r="L53" s="739"/>
      <c r="M53" s="739"/>
      <c r="N53" s="739"/>
      <c r="O53" s="739"/>
      <c r="P53" s="740"/>
    </row>
    <row r="54" spans="5:16">
      <c r="E54" s="738"/>
      <c r="F54" s="739"/>
      <c r="G54" s="739"/>
      <c r="H54" s="739"/>
      <c r="I54" s="739"/>
      <c r="J54" s="739"/>
      <c r="K54" s="739"/>
      <c r="L54" s="739"/>
      <c r="M54" s="739"/>
      <c r="N54" s="739"/>
      <c r="O54" s="739"/>
      <c r="P54" s="740"/>
    </row>
    <row r="55" spans="5:16">
      <c r="E55" s="738"/>
      <c r="F55" s="739"/>
      <c r="G55" s="739"/>
      <c r="H55" s="739"/>
      <c r="I55" s="739"/>
      <c r="J55" s="739"/>
      <c r="K55" s="739"/>
      <c r="L55" s="739"/>
      <c r="M55" s="739"/>
      <c r="N55" s="739"/>
      <c r="O55" s="739"/>
      <c r="P55" s="740"/>
    </row>
    <row r="56" spans="5:16">
      <c r="E56" s="738"/>
      <c r="F56" s="739"/>
      <c r="G56" s="739"/>
      <c r="H56" s="739"/>
      <c r="I56" s="739"/>
      <c r="J56" s="739"/>
      <c r="K56" s="739"/>
      <c r="L56" s="739"/>
      <c r="M56" s="739"/>
      <c r="N56" s="739"/>
      <c r="O56" s="739"/>
      <c r="P56" s="740"/>
    </row>
    <row r="57" spans="5:16">
      <c r="E57" s="738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40"/>
    </row>
    <row r="58" spans="5:16">
      <c r="E58" s="738"/>
      <c r="F58" s="739"/>
      <c r="G58" s="739"/>
      <c r="H58" s="739"/>
      <c r="I58" s="739"/>
      <c r="J58" s="739"/>
      <c r="K58" s="739"/>
      <c r="L58" s="739"/>
      <c r="M58" s="739"/>
      <c r="N58" s="739"/>
      <c r="O58" s="739"/>
      <c r="P58" s="740"/>
    </row>
    <row r="59" spans="5:16" ht="17.25" thickBot="1">
      <c r="E59" s="741"/>
      <c r="F59" s="742"/>
      <c r="G59" s="742"/>
      <c r="H59" s="742"/>
      <c r="I59" s="742"/>
      <c r="J59" s="742"/>
      <c r="K59" s="742"/>
      <c r="L59" s="742"/>
      <c r="M59" s="742"/>
      <c r="N59" s="742"/>
      <c r="O59" s="742"/>
      <c r="P59" s="743"/>
    </row>
  </sheetData>
  <mergeCells count="73">
    <mergeCell ref="N18:P19"/>
    <mergeCell ref="N20:P21"/>
    <mergeCell ref="N22:P23"/>
    <mergeCell ref="N24:P25"/>
    <mergeCell ref="E18:G19"/>
    <mergeCell ref="E20:G21"/>
    <mergeCell ref="E22:G23"/>
    <mergeCell ref="K18:M19"/>
    <mergeCell ref="K36:M37"/>
    <mergeCell ref="H24:J25"/>
    <mergeCell ref="E6:G8"/>
    <mergeCell ref="H6:J8"/>
    <mergeCell ref="K6:M8"/>
    <mergeCell ref="E9:G11"/>
    <mergeCell ref="H9:J11"/>
    <mergeCell ref="K9:M11"/>
    <mergeCell ref="E12:G14"/>
    <mergeCell ref="K24:M25"/>
    <mergeCell ref="H18:J19"/>
    <mergeCell ref="H20:J21"/>
    <mergeCell ref="K20:M21"/>
    <mergeCell ref="K22:M23"/>
    <mergeCell ref="H22:J23"/>
    <mergeCell ref="E24:G25"/>
    <mergeCell ref="E32:G33"/>
    <mergeCell ref="E34:G35"/>
    <mergeCell ref="E2:P5"/>
    <mergeCell ref="K12:M14"/>
    <mergeCell ref="E15:J16"/>
    <mergeCell ref="K15:P16"/>
    <mergeCell ref="E17:G17"/>
    <mergeCell ref="H17:J17"/>
    <mergeCell ref="K17:M17"/>
    <mergeCell ref="N17:P17"/>
    <mergeCell ref="H12:J14"/>
    <mergeCell ref="N12:P14"/>
    <mergeCell ref="N26:P27"/>
    <mergeCell ref="N28:P29"/>
    <mergeCell ref="N6:P8"/>
    <mergeCell ref="N9:P11"/>
    <mergeCell ref="E38:G39"/>
    <mergeCell ref="E36:G37"/>
    <mergeCell ref="K26:M27"/>
    <mergeCell ref="K28:M29"/>
    <mergeCell ref="K30:M31"/>
    <mergeCell ref="K32:M33"/>
    <mergeCell ref="K34:M35"/>
    <mergeCell ref="H28:J29"/>
    <mergeCell ref="H26:J27"/>
    <mergeCell ref="H30:J31"/>
    <mergeCell ref="H36:J37"/>
    <mergeCell ref="H34:J35"/>
    <mergeCell ref="H32:J33"/>
    <mergeCell ref="E26:G27"/>
    <mergeCell ref="E28:G29"/>
    <mergeCell ref="E30:G31"/>
    <mergeCell ref="H38:J39"/>
    <mergeCell ref="K38:M39"/>
    <mergeCell ref="K42:M43"/>
    <mergeCell ref="K40:M41"/>
    <mergeCell ref="H40:J41"/>
    <mergeCell ref="H42:J43"/>
    <mergeCell ref="N30:P31"/>
    <mergeCell ref="N32:P33"/>
    <mergeCell ref="N34:P35"/>
    <mergeCell ref="N36:P37"/>
    <mergeCell ref="N38:P39"/>
    <mergeCell ref="E40:G41"/>
    <mergeCell ref="E42:G43"/>
    <mergeCell ref="N42:P43"/>
    <mergeCell ref="E45:P59"/>
    <mergeCell ref="E44:P44"/>
    <mergeCell ref="N40:P41"/>
  </mergeCells>
  <phoneticPr fontId="53" type="noConversion"/>
  <pageMargins left="0.70866141732283472" right="0.51181102362204722" top="0.31496062992125984" bottom="0" header="0.31496062992125984" footer="0"/>
  <pageSetup paperSize="9" scale="75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동바리,비계견적서(자재만남품)</vt:lpstr>
      <vt:lpstr>동바리,비계견적서</vt:lpstr>
      <vt:lpstr>동바리견적서</vt:lpstr>
      <vt:lpstr>비계견적서</vt:lpstr>
      <vt:lpstr>비계견적서(석재비계)</vt:lpstr>
      <vt:lpstr>의조비계일단가</vt:lpstr>
      <vt:lpstr>의조동바리일단가</vt:lpstr>
      <vt:lpstr>OK비계일단가</vt:lpstr>
      <vt:lpstr>OK동바리일단가</vt:lpstr>
      <vt:lpstr>현장 체크리스트</vt:lpstr>
      <vt:lpstr>OK동바리일단가!Print_Area</vt:lpstr>
      <vt:lpstr>OK비계일단가!Print_Area</vt:lpstr>
      <vt:lpstr>'동바리,비계견적서'!Print_Area</vt:lpstr>
      <vt:lpstr>'동바리,비계견적서(자재만남품)'!Print_Area</vt:lpstr>
      <vt:lpstr>동바리견적서!Print_Area</vt:lpstr>
      <vt:lpstr>비계견적서!Print_Area</vt:lpstr>
      <vt:lpstr>'비계견적서(석재비계)'!Print_Area</vt:lpstr>
      <vt:lpstr>의조동바리일단가!Print_Area</vt:lpstr>
      <vt:lpstr>의조비계일단가!Print_Area</vt:lpstr>
      <vt:lpstr>'현장 체크리스트'!Print_Area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new</cp:lastModifiedBy>
  <cp:revision/>
  <cp:lastPrinted>2025-10-31T08:14:38Z</cp:lastPrinted>
  <dcterms:created xsi:type="dcterms:W3CDTF">2019-03-20T05:24:41Z</dcterms:created>
  <dcterms:modified xsi:type="dcterms:W3CDTF">2026-04-08T08:22:02Z</dcterms:modified>
  <cp:category/>
  <cp:contentStatus/>
</cp:coreProperties>
</file>